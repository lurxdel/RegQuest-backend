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lene\Desktop\Credential Request 2025\"/>
    </mc:Choice>
  </mc:AlternateContent>
  <xr:revisionPtr revIDLastSave="0" documentId="8_{05C1F338-6C15-4FC4-8B10-AE4BF0EE8F73}" xr6:coauthVersionLast="36" xr6:coauthVersionMax="36" xr10:uidLastSave="{00000000-0000-0000-0000-000000000000}"/>
  <bookViews>
    <workbookView xWindow="0" yWindow="0" windowWidth="28800" windowHeight="12105" tabRatio="720" firstSheet="18" activeTab="28" xr2:uid="{00000000-000D-0000-FFFF-FFFF00000000}"/>
  </bookViews>
  <sheets>
    <sheet name="December 1" sheetId="64" r:id="rId1"/>
    <sheet name="December 2" sheetId="55" r:id="rId2"/>
    <sheet name="December 3" sheetId="54" r:id="rId3"/>
    <sheet name="December 4" sheetId="53" r:id="rId4"/>
    <sheet name="December 5" sheetId="65" r:id="rId5"/>
    <sheet name="Saturday" sheetId="66" r:id="rId6"/>
    <sheet name="Sunday" sheetId="63" r:id="rId7"/>
    <sheet name="December 8-Holiday" sheetId="49" r:id="rId8"/>
    <sheet name="December 9" sheetId="67" r:id="rId9"/>
    <sheet name="December 10" sheetId="48" r:id="rId10"/>
    <sheet name="December 11" sheetId="1" r:id="rId11"/>
    <sheet name="December 12" sheetId="68" r:id="rId12"/>
    <sheet name="Saturday-2" sheetId="69" r:id="rId13"/>
    <sheet name="Sunday-2" sheetId="6" r:id="rId14"/>
    <sheet name="Party" sheetId="7" r:id="rId15"/>
    <sheet name="Party-2" sheetId="50" r:id="rId16"/>
    <sheet name="December 17" sheetId="70" r:id="rId17"/>
    <sheet name="December 18" sheetId="71" r:id="rId18"/>
    <sheet name="December 19" sheetId="72" r:id="rId19"/>
    <sheet name="December 22" sheetId="13" r:id="rId20"/>
    <sheet name="December 23" sheetId="17" r:id="rId21"/>
    <sheet name="December 24" sheetId="18" r:id="rId22"/>
    <sheet name="December 25" sheetId="19" r:id="rId23"/>
    <sheet name="December 26" sheetId="74" r:id="rId24"/>
    <sheet name="December 27" sheetId="75" r:id="rId25"/>
    <sheet name="December 28" sheetId="22" r:id="rId26"/>
    <sheet name="December 29" sheetId="57" r:id="rId27"/>
    <sheet name="December 30" sheetId="58" r:id="rId28"/>
    <sheet name="December 31" sheetId="76" r:id="rId29"/>
  </sheets>
  <definedNames>
    <definedName name="_xleta.SUBSTITUTE" hidden="1" xlm="1">#NAME?</definedName>
    <definedName name="_xleta.SUM" hidden="1" xlm="1">#NAME?</definedName>
    <definedName name="_xlpm.x" hidden="1" xlm="1">#NAME?</definedName>
    <definedName name="Courses">#REF!</definedName>
    <definedName name="_xlnm.Print_Area" localSheetId="23">'December 26'!$A$1:$L$36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4" i="65" l="1"/>
  <c r="O25" i="65"/>
  <c r="O26" i="65"/>
  <c r="O27" i="65"/>
  <c r="O28" i="65"/>
  <c r="O29" i="65"/>
  <c r="O30" i="65"/>
  <c r="O31" i="65"/>
  <c r="O32" i="65"/>
  <c r="O33" i="65"/>
  <c r="O34" i="65"/>
  <c r="O35" i="65"/>
  <c r="O36" i="65"/>
  <c r="O37" i="65"/>
  <c r="O38" i="65"/>
  <c r="O39" i="65"/>
  <c r="O40" i="65"/>
  <c r="O41" i="65"/>
  <c r="O42" i="65"/>
  <c r="O43" i="65"/>
  <c r="O44" i="65"/>
  <c r="O45" i="65"/>
  <c r="O46" i="65"/>
  <c r="O47" i="65"/>
  <c r="O48" i="65"/>
  <c r="O49" i="65"/>
  <c r="O50" i="65"/>
  <c r="O51" i="65"/>
  <c r="O52" i="65"/>
  <c r="O53" i="65"/>
  <c r="O54" i="65"/>
  <c r="O55" i="65"/>
  <c r="O56" i="65"/>
  <c r="O57" i="65"/>
  <c r="O10" i="65"/>
  <c r="O11" i="65"/>
  <c r="O12" i="65"/>
  <c r="O13" i="65"/>
  <c r="O14" i="65"/>
  <c r="O15" i="65"/>
  <c r="O16" i="65"/>
  <c r="O17" i="65"/>
  <c r="O18" i="65"/>
  <c r="O19" i="65"/>
  <c r="O20" i="65"/>
  <c r="O21" i="65"/>
  <c r="O22" i="65"/>
  <c r="O23" i="65"/>
  <c r="O9" i="65"/>
  <c r="I21" i="65" l="1"/>
  <c r="I49" i="65"/>
  <c r="I42" i="65"/>
  <c r="I57" i="65" l="1"/>
  <c r="I33" i="65"/>
  <c r="I26" i="65"/>
  <c r="I29" i="65"/>
  <c r="I18" i="65"/>
  <c r="I39" i="65"/>
  <c r="I36" i="65"/>
  <c r="I35" i="65"/>
  <c r="I53" i="65"/>
  <c r="I41" i="65"/>
  <c r="I40" i="65"/>
  <c r="I24" i="65"/>
  <c r="I32" i="65"/>
  <c r="I38" i="65"/>
  <c r="I43" i="65"/>
  <c r="I54" i="65"/>
  <c r="I14" i="65" l="1"/>
  <c r="I50" i="65"/>
  <c r="I48" i="65"/>
  <c r="I25" i="53"/>
  <c r="I31" i="65"/>
  <c r="I20" i="65"/>
  <c r="I9" i="65"/>
  <c r="I19" i="65"/>
  <c r="I11" i="65"/>
  <c r="I37" i="65"/>
  <c r="I52" i="65"/>
  <c r="I12" i="65"/>
  <c r="I34" i="65"/>
  <c r="I23" i="65"/>
  <c r="I28" i="65"/>
  <c r="I25" i="65"/>
  <c r="I13" i="65"/>
  <c r="I47" i="65"/>
  <c r="I15" i="65"/>
  <c r="I16" i="65"/>
  <c r="I10" i="65"/>
  <c r="I17" i="65"/>
  <c r="I51" i="65"/>
  <c r="O35" i="53"/>
  <c r="O36" i="53"/>
  <c r="O34" i="53"/>
  <c r="I23" i="53"/>
  <c r="I22" i="53"/>
  <c r="I14" i="53"/>
  <c r="I37" i="53"/>
  <c r="I27" i="53"/>
  <c r="I15" i="53"/>
  <c r="I28" i="53"/>
  <c r="I19" i="53"/>
  <c r="I31" i="53"/>
  <c r="I12" i="53"/>
  <c r="I29" i="53"/>
  <c r="O13" i="53"/>
  <c r="O16" i="53"/>
  <c r="O17" i="53"/>
  <c r="O32" i="53"/>
  <c r="O26" i="53"/>
  <c r="I36" i="53"/>
  <c r="I24" i="53"/>
  <c r="I22" i="65"/>
  <c r="I27" i="65"/>
  <c r="O23" i="53" l="1"/>
  <c r="O29" i="53"/>
  <c r="O31" i="53"/>
  <c r="O20" i="53"/>
  <c r="O27" i="53"/>
  <c r="O12" i="53"/>
  <c r="O28" i="53"/>
  <c r="O19" i="53"/>
  <c r="O25" i="53"/>
  <c r="O15" i="53"/>
  <c r="O24" i="53"/>
  <c r="O33" i="53"/>
  <c r="O14" i="53"/>
  <c r="O18" i="53"/>
  <c r="O11" i="53"/>
  <c r="O10" i="53"/>
  <c r="O9" i="53"/>
  <c r="O22" i="53"/>
  <c r="R15" i="65" l="1"/>
  <c r="R19" i="65"/>
  <c r="R27" i="65"/>
  <c r="R18" i="53"/>
  <c r="R22" i="65"/>
  <c r="R14" i="65"/>
  <c r="R10" i="53"/>
  <c r="R11" i="53"/>
  <c r="R22" i="53"/>
  <c r="R9" i="53"/>
  <c r="F185" i="53" l="1" a="1"/>
  <c r="F185" i="53" s="1"/>
  <c r="E185" i="53" a="1"/>
  <c r="E185" i="53" s="1"/>
  <c r="D185" i="53" a="1"/>
  <c r="D185" i="53" s="1"/>
  <c r="C185" i="53" a="1"/>
  <c r="C185" i="53" s="1"/>
  <c r="B185" i="53" a="1"/>
  <c r="B185" i="53" s="1"/>
  <c r="F247" i="65" a="1"/>
  <c r="F247" i="65" s="1"/>
  <c r="E247" i="65" a="1"/>
  <c r="E247" i="65" s="1"/>
  <c r="D247" i="65" a="1"/>
  <c r="D247" i="65" s="1"/>
  <c r="C247" i="65" a="1"/>
  <c r="C247" i="65" s="1"/>
  <c r="B247" i="65" a="1"/>
  <c r="B247" i="65" s="1"/>
  <c r="F247" i="66" a="1"/>
  <c r="F247" i="66" s="1"/>
  <c r="E247" i="66" a="1"/>
  <c r="E247" i="66" s="1"/>
  <c r="D247" i="66" a="1"/>
  <c r="D247" i="66" s="1"/>
  <c r="C247" i="66" a="1"/>
  <c r="C247" i="66" s="1"/>
  <c r="B247" i="66" a="1"/>
  <c r="B247" i="66" s="1"/>
  <c r="F247" i="63" a="1"/>
  <c r="F247" i="63" s="1"/>
  <c r="E247" i="63" a="1"/>
  <c r="E247" i="63" s="1"/>
  <c r="D247" i="63" a="1"/>
  <c r="D247" i="63" s="1"/>
  <c r="C247" i="63" a="1"/>
  <c r="C247" i="63" s="1"/>
  <c r="B247" i="63" a="1"/>
  <c r="B247" i="63" s="1"/>
  <c r="F247" i="49" a="1"/>
  <c r="F247" i="49" s="1"/>
  <c r="E247" i="49" a="1"/>
  <c r="E247" i="49" s="1"/>
  <c r="D247" i="49" a="1"/>
  <c r="D247" i="49" s="1"/>
  <c r="C247" i="49" a="1"/>
  <c r="C247" i="49" s="1"/>
  <c r="B247" i="49" a="1"/>
  <c r="B247" i="49" s="1"/>
  <c r="F247" i="69" a="1"/>
  <c r="F247" i="69" s="1"/>
  <c r="E247" i="69" a="1"/>
  <c r="E247" i="69" s="1"/>
  <c r="D247" i="69" a="1"/>
  <c r="D247" i="69" s="1"/>
  <c r="C247" i="69" a="1"/>
  <c r="C247" i="69" s="1"/>
  <c r="B247" i="69" a="1"/>
  <c r="B247" i="69" s="1"/>
  <c r="F247" i="6" a="1"/>
  <c r="F247" i="6" s="1"/>
  <c r="E247" i="6" a="1"/>
  <c r="E247" i="6" s="1"/>
  <c r="D247" i="6" a="1"/>
  <c r="D247" i="6" s="1"/>
  <c r="C247" i="6" a="1"/>
  <c r="C247" i="6" s="1"/>
  <c r="B247" i="6" a="1"/>
  <c r="B247" i="6" s="1"/>
  <c r="F247" i="7" a="1"/>
  <c r="F247" i="7" s="1"/>
  <c r="E247" i="7" a="1"/>
  <c r="E247" i="7" s="1"/>
  <c r="D247" i="7" a="1"/>
  <c r="D247" i="7" s="1"/>
  <c r="C247" i="7" a="1"/>
  <c r="C247" i="7" s="1"/>
  <c r="B247" i="7" a="1"/>
  <c r="B247" i="7" s="1"/>
  <c r="F247" i="50" a="1"/>
  <c r="F247" i="50" s="1"/>
  <c r="E247" i="50" a="1"/>
  <c r="E247" i="50" s="1"/>
  <c r="D247" i="50" a="1"/>
  <c r="D247" i="50" s="1"/>
  <c r="C247" i="50" a="1"/>
  <c r="C247" i="50" s="1"/>
  <c r="B247" i="50" a="1"/>
  <c r="B247" i="50" s="1"/>
  <c r="F247" i="17" a="1"/>
  <c r="F247" i="17" s="1"/>
  <c r="E247" i="17" a="1"/>
  <c r="E247" i="17" s="1"/>
  <c r="D247" i="17" a="1"/>
  <c r="D247" i="17" s="1"/>
  <c r="C247" i="17" a="1"/>
  <c r="C247" i="17" s="1"/>
  <c r="B247" i="17" a="1"/>
  <c r="B247" i="17" s="1"/>
  <c r="F247" i="18" a="1"/>
  <c r="F247" i="18" s="1"/>
  <c r="E247" i="18" a="1"/>
  <c r="E247" i="18" s="1"/>
  <c r="D247" i="18" a="1"/>
  <c r="D247" i="18" s="1"/>
  <c r="C247" i="18" a="1"/>
  <c r="C247" i="18" s="1"/>
  <c r="B247" i="18" a="1"/>
  <c r="B247" i="18" s="1"/>
  <c r="F247" i="19" a="1"/>
  <c r="F247" i="19" s="1"/>
  <c r="E247" i="19" a="1"/>
  <c r="E247" i="19" s="1"/>
  <c r="D247" i="19" a="1"/>
  <c r="D247" i="19" s="1"/>
  <c r="C247" i="19" a="1"/>
  <c r="C247" i="19" s="1"/>
  <c r="B247" i="19" a="1"/>
  <c r="B247" i="19" s="1"/>
  <c r="F247" i="75" a="1"/>
  <c r="F247" i="75" s="1"/>
  <c r="E247" i="75" a="1"/>
  <c r="E247" i="75" s="1"/>
  <c r="D247" i="75" a="1"/>
  <c r="D247" i="75" s="1"/>
  <c r="C247" i="75" a="1"/>
  <c r="C247" i="75" s="1"/>
  <c r="B247" i="75" a="1"/>
  <c r="B247" i="75" s="1"/>
  <c r="F247" i="22" a="1"/>
  <c r="F247" i="22" s="1"/>
  <c r="E247" i="22" a="1"/>
  <c r="E247" i="22" s="1"/>
  <c r="D247" i="22" a="1"/>
  <c r="D247" i="22" s="1"/>
  <c r="C247" i="22" a="1"/>
  <c r="C247" i="22" s="1"/>
  <c r="B247" i="22" a="1"/>
  <c r="B247" i="22" s="1"/>
  <c r="F247" i="58" a="1"/>
  <c r="F247" i="58" s="1"/>
  <c r="E247" i="58" a="1"/>
  <c r="E247" i="58" s="1"/>
  <c r="D247" i="58" a="1"/>
  <c r="D247" i="58" s="1"/>
  <c r="C247" i="58" a="1"/>
  <c r="C247" i="58" s="1"/>
  <c r="B247" i="58" a="1"/>
  <c r="B247" i="58" s="1"/>
  <c r="F247" i="76" a="1"/>
  <c r="F247" i="76" s="1"/>
  <c r="E247" i="76" a="1"/>
  <c r="E247" i="76" s="1"/>
  <c r="D247" i="76" a="1"/>
  <c r="D247" i="76" s="1"/>
  <c r="C247" i="76" a="1"/>
  <c r="C247" i="76" s="1"/>
  <c r="B247" i="76" a="1"/>
  <c r="B247" i="76" s="1"/>
  <c r="C242" i="76"/>
  <c r="C242" i="76" a="1"/>
  <c r="C241" i="76" a="1"/>
  <c r="C241" i="76" s="1"/>
  <c r="C240" i="76"/>
  <c r="C240" i="76" a="1"/>
  <c r="C239" i="76" a="1"/>
  <c r="C239" i="76" s="1"/>
  <c r="C238" i="76"/>
  <c r="C238" i="76" a="1"/>
  <c r="C237" i="76" a="1"/>
  <c r="C237" i="76" s="1"/>
  <c r="C236" i="76"/>
  <c r="C236" i="76" a="1"/>
  <c r="C235" i="76" a="1"/>
  <c r="C235" i="76" s="1"/>
  <c r="C234" i="76"/>
  <c r="C234" i="76" a="1"/>
  <c r="G231" i="76" a="1"/>
  <c r="G231" i="76" s="1"/>
  <c r="C231" i="76"/>
  <c r="C231" i="76" a="1"/>
  <c r="G230" i="76" a="1"/>
  <c r="G230" i="76" s="1"/>
  <c r="C230" i="76" a="1"/>
  <c r="C230" i="76" s="1"/>
  <c r="G229" i="76" a="1"/>
  <c r="G229" i="76" s="1"/>
  <c r="C229" i="76" a="1"/>
  <c r="C229" i="76" s="1"/>
  <c r="G228" i="76" a="1"/>
  <c r="G228" i="76" s="1"/>
  <c r="C228" i="76"/>
  <c r="C228" i="76" a="1"/>
  <c r="G227" i="76" a="1"/>
  <c r="G227" i="76" s="1"/>
  <c r="C227" i="76"/>
  <c r="C227" i="76" a="1"/>
  <c r="G226" i="76" a="1"/>
  <c r="G226" i="76" s="1"/>
  <c r="C226" i="76" a="1"/>
  <c r="C226" i="76" s="1"/>
  <c r="G225" i="76" a="1"/>
  <c r="G225" i="76" s="1"/>
  <c r="C225" i="76"/>
  <c r="C225" i="76" a="1"/>
  <c r="G224" i="76" a="1"/>
  <c r="G224" i="76" s="1"/>
  <c r="C224" i="76"/>
  <c r="C224" i="76" a="1"/>
  <c r="G223" i="76" a="1"/>
  <c r="G223" i="76" s="1"/>
  <c r="G232" i="76" s="1"/>
  <c r="C223" i="76"/>
  <c r="C223" i="76" a="1"/>
  <c r="G220" i="76" a="1"/>
  <c r="G220" i="76" s="1"/>
  <c r="C220" i="76" a="1"/>
  <c r="C220" i="76" s="1"/>
  <c r="G219" i="76"/>
  <c r="G219" i="76" a="1"/>
  <c r="C219" i="76" a="1"/>
  <c r="C219" i="76" s="1"/>
  <c r="G218" i="76"/>
  <c r="G218" i="76" a="1"/>
  <c r="C218" i="76" a="1"/>
  <c r="C218" i="76" s="1"/>
  <c r="G217" i="76"/>
  <c r="G217" i="76" a="1"/>
  <c r="C217" i="76" a="1"/>
  <c r="C217" i="76" s="1"/>
  <c r="G216" i="76" a="1"/>
  <c r="G216" i="76" s="1"/>
  <c r="C216" i="76" a="1"/>
  <c r="C216" i="76" s="1"/>
  <c r="G215" i="76"/>
  <c r="G215" i="76" a="1"/>
  <c r="C215" i="76" a="1"/>
  <c r="C215" i="76" s="1"/>
  <c r="G214" i="76"/>
  <c r="G214" i="76" a="1"/>
  <c r="C214" i="76" a="1"/>
  <c r="C214" i="76" s="1"/>
  <c r="G213" i="76"/>
  <c r="G213" i="76" a="1"/>
  <c r="C213" i="76" a="1"/>
  <c r="C213" i="76" s="1"/>
  <c r="G212" i="76" a="1"/>
  <c r="G212" i="76" s="1"/>
  <c r="C212" i="76" a="1"/>
  <c r="C212" i="76" s="1"/>
  <c r="C221" i="76" s="1"/>
  <c r="G209" i="76" a="1"/>
  <c r="G209" i="76" s="1"/>
  <c r="C209" i="76"/>
  <c r="C209" i="76" a="1"/>
  <c r="G208" i="76" a="1"/>
  <c r="G208" i="76" s="1"/>
  <c r="C208" i="76"/>
  <c r="C208" i="76" a="1"/>
  <c r="G207" i="76" a="1"/>
  <c r="G207" i="76" s="1"/>
  <c r="C207" i="76" a="1"/>
  <c r="C207" i="76" s="1"/>
  <c r="G206" i="76" a="1"/>
  <c r="G206" i="76" s="1"/>
  <c r="C206" i="76"/>
  <c r="C206" i="76" a="1"/>
  <c r="G205" i="76" a="1"/>
  <c r="G205" i="76" s="1"/>
  <c r="C205" i="76"/>
  <c r="C205" i="76" a="1"/>
  <c r="G204" i="76" a="1"/>
  <c r="G204" i="76" s="1"/>
  <c r="C204" i="76"/>
  <c r="C204" i="76" a="1"/>
  <c r="G203" i="76" a="1"/>
  <c r="G203" i="76" s="1"/>
  <c r="C203" i="76" a="1"/>
  <c r="C203" i="76" s="1"/>
  <c r="G202" i="76" a="1"/>
  <c r="G202" i="76" s="1"/>
  <c r="C202" i="76"/>
  <c r="C202" i="76" a="1"/>
  <c r="G201" i="76" a="1"/>
  <c r="G201" i="76" s="1"/>
  <c r="G210" i="76" s="1"/>
  <c r="C201" i="76"/>
  <c r="C210" i="76" s="1"/>
  <c r="C201" i="76" a="1"/>
  <c r="G198" i="76"/>
  <c r="G198" i="76" a="1"/>
  <c r="C198" i="76" a="1"/>
  <c r="C198" i="76" s="1"/>
  <c r="G197" i="76" a="1"/>
  <c r="G197" i="76" s="1"/>
  <c r="C197" i="76" a="1"/>
  <c r="C197" i="76" s="1"/>
  <c r="G196" i="76"/>
  <c r="G196" i="76" a="1"/>
  <c r="C196" i="76" a="1"/>
  <c r="C196" i="76" s="1"/>
  <c r="G195" i="76"/>
  <c r="G195" i="76" a="1"/>
  <c r="C195" i="76" a="1"/>
  <c r="C195" i="76" s="1"/>
  <c r="G194" i="76"/>
  <c r="G194" i="76" a="1"/>
  <c r="C194" i="76" a="1"/>
  <c r="C194" i="76" s="1"/>
  <c r="G193" i="76" a="1"/>
  <c r="G193" i="76" s="1"/>
  <c r="C193" i="76" a="1"/>
  <c r="C193" i="76" s="1"/>
  <c r="G192" i="76"/>
  <c r="G192" i="76" a="1"/>
  <c r="C192" i="76" a="1"/>
  <c r="C192" i="76" s="1"/>
  <c r="G191" i="76"/>
  <c r="G191" i="76" a="1"/>
  <c r="C191" i="76" a="1"/>
  <c r="C191" i="76" s="1"/>
  <c r="G190" i="76"/>
  <c r="G190" i="76" a="1"/>
  <c r="C190" i="76" a="1"/>
  <c r="C190" i="76" s="1"/>
  <c r="C199" i="76" s="1"/>
  <c r="G187" i="76" a="1"/>
  <c r="G187" i="76" s="1"/>
  <c r="C187" i="76"/>
  <c r="C187" i="76" a="1"/>
  <c r="G186" i="76" a="1"/>
  <c r="G186" i="76" s="1"/>
  <c r="C186" i="76"/>
  <c r="C186" i="76" a="1"/>
  <c r="G185" i="76" a="1"/>
  <c r="G185" i="76" s="1"/>
  <c r="C185" i="76"/>
  <c r="C185" i="76" a="1"/>
  <c r="G184" i="76" a="1"/>
  <c r="G184" i="76" s="1"/>
  <c r="C184" i="76" a="1"/>
  <c r="C184" i="76" s="1"/>
  <c r="G183" i="76" a="1"/>
  <c r="G183" i="76" s="1"/>
  <c r="C183" i="76"/>
  <c r="C183" i="76" a="1"/>
  <c r="G182" i="76" a="1"/>
  <c r="G182" i="76" s="1"/>
  <c r="C182" i="76"/>
  <c r="C182" i="76" a="1"/>
  <c r="G181" i="76" a="1"/>
  <c r="G181" i="76" s="1"/>
  <c r="C181" i="76"/>
  <c r="C181" i="76" a="1"/>
  <c r="G180" i="76" a="1"/>
  <c r="G180" i="76" s="1"/>
  <c r="C180" i="76" a="1"/>
  <c r="C180" i="76" s="1"/>
  <c r="G179" i="76" a="1"/>
  <c r="G179" i="76" s="1"/>
  <c r="G188" i="76" s="1"/>
  <c r="C179" i="76"/>
  <c r="C179" i="76" a="1"/>
  <c r="G176" i="76"/>
  <c r="G176" i="76" a="1"/>
  <c r="C176" i="76" a="1"/>
  <c r="C176" i="76" s="1"/>
  <c r="G175" i="76"/>
  <c r="G175" i="76" a="1"/>
  <c r="C175" i="76" a="1"/>
  <c r="C175" i="76" s="1"/>
  <c r="G174" i="76" a="1"/>
  <c r="G174" i="76" s="1"/>
  <c r="C174" i="76" a="1"/>
  <c r="C174" i="76" s="1"/>
  <c r="G173" i="76"/>
  <c r="G173" i="76" a="1"/>
  <c r="C173" i="76" a="1"/>
  <c r="C173" i="76" s="1"/>
  <c r="G172" i="76"/>
  <c r="G172" i="76" a="1"/>
  <c r="C172" i="76" a="1"/>
  <c r="C172" i="76" s="1"/>
  <c r="G171" i="76"/>
  <c r="G171" i="76" a="1"/>
  <c r="C171" i="76" a="1"/>
  <c r="C171" i="76" s="1"/>
  <c r="G170" i="76" a="1"/>
  <c r="G170" i="76" s="1"/>
  <c r="C170" i="76" a="1"/>
  <c r="C170" i="76" s="1"/>
  <c r="G169" i="76"/>
  <c r="G169" i="76" a="1"/>
  <c r="C169" i="76" a="1"/>
  <c r="C169" i="76" s="1"/>
  <c r="C177" i="76" s="1"/>
  <c r="G168" i="76"/>
  <c r="G168" i="76" a="1"/>
  <c r="C168" i="76" a="1"/>
  <c r="C168" i="76" s="1"/>
  <c r="G165" i="76" a="1"/>
  <c r="G165" i="76" s="1"/>
  <c r="C165" i="76" a="1"/>
  <c r="C165" i="76" s="1"/>
  <c r="G164" i="76" a="1"/>
  <c r="G164" i="76" s="1"/>
  <c r="C164" i="76"/>
  <c r="C164" i="76" a="1"/>
  <c r="G163" i="76" a="1"/>
  <c r="G163" i="76" s="1"/>
  <c r="C163" i="76" a="1"/>
  <c r="C163" i="76" s="1"/>
  <c r="G162" i="76" a="1"/>
  <c r="G162" i="76" s="1"/>
  <c r="C162" i="76"/>
  <c r="C162" i="76" a="1"/>
  <c r="G161" i="76" a="1"/>
  <c r="G161" i="76" s="1"/>
  <c r="C161" i="76" a="1"/>
  <c r="C161" i="76" s="1"/>
  <c r="G160" i="76" a="1"/>
  <c r="G160" i="76" s="1"/>
  <c r="C160" i="76"/>
  <c r="C160" i="76" a="1"/>
  <c r="G159" i="76" a="1"/>
  <c r="G159" i="76" s="1"/>
  <c r="G166" i="76" s="1"/>
  <c r="C159" i="76" a="1"/>
  <c r="C159" i="76" s="1"/>
  <c r="G158" i="76" a="1"/>
  <c r="G158" i="76" s="1"/>
  <c r="C158" i="76"/>
  <c r="C158" i="76" a="1"/>
  <c r="G157" i="76" a="1"/>
  <c r="G157" i="76" s="1"/>
  <c r="C157" i="76" a="1"/>
  <c r="C157" i="76" s="1"/>
  <c r="G154" i="76"/>
  <c r="G154" i="76" a="1"/>
  <c r="C154" i="76" a="1"/>
  <c r="C154" i="76" s="1"/>
  <c r="G153" i="76" a="1"/>
  <c r="G153" i="76" s="1"/>
  <c r="C153" i="76" a="1"/>
  <c r="C153" i="76" s="1"/>
  <c r="G152" i="76"/>
  <c r="G152" i="76" a="1"/>
  <c r="C152" i="76" a="1"/>
  <c r="C152" i="76" s="1"/>
  <c r="G151" i="76" a="1"/>
  <c r="G151" i="76" s="1"/>
  <c r="C151" i="76" a="1"/>
  <c r="C151" i="76" s="1"/>
  <c r="G150" i="76"/>
  <c r="G150" i="76" a="1"/>
  <c r="C150" i="76" a="1"/>
  <c r="C150" i="76" s="1"/>
  <c r="G149" i="76" a="1"/>
  <c r="G149" i="76" s="1"/>
  <c r="C149" i="76" a="1"/>
  <c r="C149" i="76" s="1"/>
  <c r="G148" i="76"/>
  <c r="G148" i="76" a="1"/>
  <c r="C148" i="76" a="1"/>
  <c r="C148" i="76" s="1"/>
  <c r="G147" i="76" a="1"/>
  <c r="G147" i="76" s="1"/>
  <c r="C147" i="76" a="1"/>
  <c r="C147" i="76" s="1"/>
  <c r="G146" i="76"/>
  <c r="G146" i="76" a="1"/>
  <c r="C146" i="76" a="1"/>
  <c r="C146" i="76" s="1"/>
  <c r="C155" i="76" s="1"/>
  <c r="G143" i="76" a="1"/>
  <c r="G143" i="76" s="1"/>
  <c r="C143" i="76"/>
  <c r="C143" i="76" a="1"/>
  <c r="G142" i="76" a="1"/>
  <c r="G142" i="76" s="1"/>
  <c r="C142" i="76" a="1"/>
  <c r="C142" i="76" s="1"/>
  <c r="G141" i="76" a="1"/>
  <c r="G141" i="76" s="1"/>
  <c r="C141" i="76"/>
  <c r="C141" i="76" a="1"/>
  <c r="G140" i="76" a="1"/>
  <c r="G140" i="76" s="1"/>
  <c r="C140" i="76" a="1"/>
  <c r="C140" i="76" s="1"/>
  <c r="G139" i="76" a="1"/>
  <c r="G139" i="76" s="1"/>
  <c r="C139" i="76"/>
  <c r="C139" i="76" a="1"/>
  <c r="G138" i="76" a="1"/>
  <c r="G138" i="76" s="1"/>
  <c r="C138" i="76" a="1"/>
  <c r="C138" i="76" s="1"/>
  <c r="G137" i="76" a="1"/>
  <c r="G137" i="76" s="1"/>
  <c r="C137" i="76" a="1"/>
  <c r="C137" i="76" s="1"/>
  <c r="G136" i="76" a="1"/>
  <c r="G136" i="76" s="1"/>
  <c r="C136" i="76" a="1"/>
  <c r="C136" i="76" s="1"/>
  <c r="G135" i="76" a="1"/>
  <c r="G135" i="76" s="1"/>
  <c r="G144" i="76" s="1"/>
  <c r="C135" i="76" a="1"/>
  <c r="C135" i="76" s="1"/>
  <c r="C133" i="76" a="1"/>
  <c r="C133" i="76" s="1"/>
  <c r="G132" i="76" a="1"/>
  <c r="G132" i="76" s="1"/>
  <c r="C132" i="76" a="1"/>
  <c r="C132" i="76" s="1"/>
  <c r="G131" i="76" a="1"/>
  <c r="G131" i="76" s="1"/>
  <c r="C131" i="76" a="1"/>
  <c r="C131" i="76" s="1"/>
  <c r="G130" i="76" a="1"/>
  <c r="G130" i="76" s="1"/>
  <c r="C130" i="76" a="1"/>
  <c r="C130" i="76" s="1"/>
  <c r="G129" i="76" a="1"/>
  <c r="G129" i="76" s="1"/>
  <c r="C129" i="76" a="1"/>
  <c r="C129" i="76" s="1"/>
  <c r="G128" i="76" a="1"/>
  <c r="G128" i="76" s="1"/>
  <c r="C128" i="76" a="1"/>
  <c r="C128" i="76" s="1"/>
  <c r="G127" i="76" a="1"/>
  <c r="G127" i="76" s="1"/>
  <c r="C127" i="76" a="1"/>
  <c r="C127" i="76" s="1"/>
  <c r="G126" i="76" a="1"/>
  <c r="G126" i="76" s="1"/>
  <c r="C126" i="76" a="1"/>
  <c r="C126" i="76" s="1"/>
  <c r="G125" i="76" a="1"/>
  <c r="G125" i="76" s="1"/>
  <c r="C125" i="76" a="1"/>
  <c r="C125" i="76" s="1"/>
  <c r="G124" i="76" a="1"/>
  <c r="G124" i="76" s="1"/>
  <c r="G133" i="76" s="1"/>
  <c r="C124" i="76" a="1"/>
  <c r="C124" i="76" s="1"/>
  <c r="C242" i="75"/>
  <c r="C242" i="75" a="1"/>
  <c r="C241" i="75" a="1"/>
  <c r="C241" i="75" s="1"/>
  <c r="C240" i="75"/>
  <c r="C240" i="75" a="1"/>
  <c r="C239" i="75" a="1"/>
  <c r="C239" i="75" s="1"/>
  <c r="C238" i="75"/>
  <c r="C238" i="75" a="1"/>
  <c r="C237" i="75" a="1"/>
  <c r="C237" i="75" s="1"/>
  <c r="C236" i="75"/>
  <c r="C236" i="75" a="1"/>
  <c r="C235" i="75" a="1"/>
  <c r="C235" i="75" s="1"/>
  <c r="C243" i="75" s="1"/>
  <c r="C234" i="75"/>
  <c r="C234" i="75" a="1"/>
  <c r="G231" i="75"/>
  <c r="G231" i="75" a="1"/>
  <c r="C231" i="75"/>
  <c r="C231" i="75" a="1"/>
  <c r="G230" i="75"/>
  <c r="G230" i="75" a="1"/>
  <c r="C230" i="75"/>
  <c r="C230" i="75" a="1"/>
  <c r="G229" i="75"/>
  <c r="G229" i="75" a="1"/>
  <c r="C229" i="75"/>
  <c r="C229" i="75" a="1"/>
  <c r="G228" i="75"/>
  <c r="G228" i="75" a="1"/>
  <c r="C228" i="75"/>
  <c r="C228" i="75" a="1"/>
  <c r="G227" i="75" a="1"/>
  <c r="G227" i="75" s="1"/>
  <c r="C227" i="75" a="1"/>
  <c r="C227" i="75" s="1"/>
  <c r="G226" i="75" a="1"/>
  <c r="G226" i="75" s="1"/>
  <c r="C226" i="75" a="1"/>
  <c r="C226" i="75" s="1"/>
  <c r="G225" i="75" a="1"/>
  <c r="G225" i="75" s="1"/>
  <c r="G232" i="75" s="1"/>
  <c r="C225" i="75"/>
  <c r="C225" i="75" a="1"/>
  <c r="G224" i="75" a="1"/>
  <c r="G224" i="75" s="1"/>
  <c r="C224" i="75"/>
  <c r="C224" i="75" a="1"/>
  <c r="G223" i="75" a="1"/>
  <c r="G223" i="75" s="1"/>
  <c r="C223" i="75" a="1"/>
  <c r="C223" i="75" s="1"/>
  <c r="C232" i="75" s="1"/>
  <c r="G220" i="75" a="1"/>
  <c r="G220" i="75" s="1"/>
  <c r="C220" i="75" a="1"/>
  <c r="C220" i="75" s="1"/>
  <c r="G219" i="75"/>
  <c r="G219" i="75" a="1"/>
  <c r="C219" i="75" a="1"/>
  <c r="C219" i="75" s="1"/>
  <c r="G218" i="75"/>
  <c r="G218" i="75" a="1"/>
  <c r="C218" i="75" a="1"/>
  <c r="C218" i="75" s="1"/>
  <c r="G217" i="75" a="1"/>
  <c r="G217" i="75" s="1"/>
  <c r="C217" i="75" a="1"/>
  <c r="C217" i="75" s="1"/>
  <c r="G216" i="75" a="1"/>
  <c r="G216" i="75" s="1"/>
  <c r="C216" i="75" a="1"/>
  <c r="C216" i="75" s="1"/>
  <c r="G215" i="75"/>
  <c r="G215" i="75" a="1"/>
  <c r="C215" i="75" a="1"/>
  <c r="C215" i="75" s="1"/>
  <c r="G214" i="75"/>
  <c r="G214" i="75" a="1"/>
  <c r="C214" i="75" a="1"/>
  <c r="C214" i="75" s="1"/>
  <c r="G213" i="75" a="1"/>
  <c r="G213" i="75" s="1"/>
  <c r="C213" i="75" a="1"/>
  <c r="C213" i="75" s="1"/>
  <c r="G212" i="75" a="1"/>
  <c r="G212" i="75" s="1"/>
  <c r="G221" i="75" s="1"/>
  <c r="C212" i="75" a="1"/>
  <c r="C212" i="75" s="1"/>
  <c r="C221" i="75" s="1"/>
  <c r="G209" i="75" a="1"/>
  <c r="G209" i="75" s="1"/>
  <c r="C209" i="75"/>
  <c r="C209" i="75" a="1"/>
  <c r="G208" i="75" a="1"/>
  <c r="G208" i="75" s="1"/>
  <c r="C208" i="75" a="1"/>
  <c r="C208" i="75" s="1"/>
  <c r="G207" i="75" a="1"/>
  <c r="G207" i="75" s="1"/>
  <c r="C207" i="75" a="1"/>
  <c r="C207" i="75" s="1"/>
  <c r="G206" i="75" a="1"/>
  <c r="G206" i="75" s="1"/>
  <c r="C206" i="75"/>
  <c r="C206" i="75" a="1"/>
  <c r="G205" i="75" a="1"/>
  <c r="G205" i="75" s="1"/>
  <c r="C205" i="75"/>
  <c r="C205" i="75" a="1"/>
  <c r="G204" i="75" a="1"/>
  <c r="G204" i="75" s="1"/>
  <c r="C204" i="75" a="1"/>
  <c r="C204" i="75" s="1"/>
  <c r="G203" i="75" a="1"/>
  <c r="G203" i="75" s="1"/>
  <c r="C203" i="75" a="1"/>
  <c r="C203" i="75" s="1"/>
  <c r="G202" i="75" a="1"/>
  <c r="G202" i="75" s="1"/>
  <c r="C202" i="75"/>
  <c r="C202" i="75" a="1"/>
  <c r="G201" i="75" a="1"/>
  <c r="G201" i="75" s="1"/>
  <c r="G210" i="75" s="1"/>
  <c r="C201" i="75"/>
  <c r="C201" i="75" a="1"/>
  <c r="G198" i="75" a="1"/>
  <c r="G198" i="75" s="1"/>
  <c r="C198" i="75" a="1"/>
  <c r="C198" i="75" s="1"/>
  <c r="G197" i="75" a="1"/>
  <c r="G197" i="75" s="1"/>
  <c r="C197" i="75" a="1"/>
  <c r="C197" i="75" s="1"/>
  <c r="G196" i="75"/>
  <c r="G196" i="75" a="1"/>
  <c r="C196" i="75" a="1"/>
  <c r="C196" i="75" s="1"/>
  <c r="G195" i="75"/>
  <c r="G195" i="75" a="1"/>
  <c r="C195" i="75" a="1"/>
  <c r="C195" i="75" s="1"/>
  <c r="G194" i="75" a="1"/>
  <c r="G194" i="75" s="1"/>
  <c r="C194" i="75" a="1"/>
  <c r="C194" i="75" s="1"/>
  <c r="G193" i="75" a="1"/>
  <c r="G193" i="75" s="1"/>
  <c r="C193" i="75" a="1"/>
  <c r="C193" i="75" s="1"/>
  <c r="G192" i="75"/>
  <c r="G192" i="75" a="1"/>
  <c r="C192" i="75" a="1"/>
  <c r="C192" i="75" s="1"/>
  <c r="G191" i="75"/>
  <c r="G191" i="75" a="1"/>
  <c r="C191" i="75" a="1"/>
  <c r="C191" i="75" s="1"/>
  <c r="G190" i="75" a="1"/>
  <c r="G190" i="75" s="1"/>
  <c r="C190" i="75" a="1"/>
  <c r="C190" i="75" s="1"/>
  <c r="C199" i="75" s="1"/>
  <c r="G187" i="75" a="1"/>
  <c r="G187" i="75" s="1"/>
  <c r="C187" i="75"/>
  <c r="C187" i="75" a="1"/>
  <c r="G186" i="75" a="1"/>
  <c r="G186" i="75" s="1"/>
  <c r="C186" i="75"/>
  <c r="C186" i="75" a="1"/>
  <c r="G185" i="75" a="1"/>
  <c r="G185" i="75" s="1"/>
  <c r="C185" i="75" a="1"/>
  <c r="C185" i="75" s="1"/>
  <c r="G184" i="75" a="1"/>
  <c r="G184" i="75" s="1"/>
  <c r="C184" i="75" a="1"/>
  <c r="C184" i="75" s="1"/>
  <c r="G183" i="75" a="1"/>
  <c r="G183" i="75" s="1"/>
  <c r="C183" i="75"/>
  <c r="C183" i="75" a="1"/>
  <c r="G182" i="75" a="1"/>
  <c r="G182" i="75" s="1"/>
  <c r="C182" i="75"/>
  <c r="C182" i="75" a="1"/>
  <c r="G181" i="75" a="1"/>
  <c r="G181" i="75" s="1"/>
  <c r="C181" i="75" a="1"/>
  <c r="C181" i="75" s="1"/>
  <c r="G180" i="75" a="1"/>
  <c r="G180" i="75" s="1"/>
  <c r="C180" i="75" a="1"/>
  <c r="C180" i="75" s="1"/>
  <c r="G179" i="75" a="1"/>
  <c r="G179" i="75" s="1"/>
  <c r="G188" i="75" s="1"/>
  <c r="C179" i="75"/>
  <c r="C179" i="75" a="1"/>
  <c r="G176" i="75"/>
  <c r="G176" i="75" a="1"/>
  <c r="C176" i="75" a="1"/>
  <c r="C176" i="75" s="1"/>
  <c r="G175" i="75" a="1"/>
  <c r="G175" i="75" s="1"/>
  <c r="C175" i="75" a="1"/>
  <c r="C175" i="75" s="1"/>
  <c r="G174" i="75" a="1"/>
  <c r="G174" i="75" s="1"/>
  <c r="C174" i="75" a="1"/>
  <c r="C174" i="75" s="1"/>
  <c r="G173" i="75"/>
  <c r="G173" i="75" a="1"/>
  <c r="C173" i="75" a="1"/>
  <c r="C173" i="75" s="1"/>
  <c r="G172" i="75"/>
  <c r="G172" i="75" a="1"/>
  <c r="C172" i="75" a="1"/>
  <c r="C172" i="75" s="1"/>
  <c r="G171" i="75" a="1"/>
  <c r="G171" i="75" s="1"/>
  <c r="C171" i="75" a="1"/>
  <c r="C171" i="75" s="1"/>
  <c r="G170" i="75" a="1"/>
  <c r="G170" i="75" s="1"/>
  <c r="C170" i="75" a="1"/>
  <c r="C170" i="75" s="1"/>
  <c r="G169" i="75"/>
  <c r="G169" i="75" a="1"/>
  <c r="C169" i="75" a="1"/>
  <c r="C169" i="75" s="1"/>
  <c r="C177" i="75" s="1"/>
  <c r="G168" i="75"/>
  <c r="G168" i="75" a="1"/>
  <c r="C168" i="75" a="1"/>
  <c r="C168" i="75" s="1"/>
  <c r="G165" i="75" a="1"/>
  <c r="G165" i="75" s="1"/>
  <c r="C165" i="75" a="1"/>
  <c r="C165" i="75" s="1"/>
  <c r="G164" i="75" a="1"/>
  <c r="G164" i="75" s="1"/>
  <c r="C164" i="75"/>
  <c r="C164" i="75" a="1"/>
  <c r="G163" i="75" a="1"/>
  <c r="G163" i="75" s="1"/>
  <c r="C163" i="75"/>
  <c r="C163" i="75" a="1"/>
  <c r="G162" i="75" a="1"/>
  <c r="G162" i="75" s="1"/>
  <c r="C162" i="75" a="1"/>
  <c r="C162" i="75" s="1"/>
  <c r="G161" i="75" a="1"/>
  <c r="G161" i="75" s="1"/>
  <c r="C161" i="75" a="1"/>
  <c r="C161" i="75" s="1"/>
  <c r="G160" i="75" a="1"/>
  <c r="G160" i="75" s="1"/>
  <c r="C160" i="75"/>
  <c r="C160" i="75" a="1"/>
  <c r="G159" i="75" a="1"/>
  <c r="G159" i="75" s="1"/>
  <c r="G166" i="75" s="1"/>
  <c r="C159" i="75"/>
  <c r="C159" i="75" a="1"/>
  <c r="G158" i="75" a="1"/>
  <c r="G158" i="75" s="1"/>
  <c r="C158" i="75" a="1"/>
  <c r="C158" i="75" s="1"/>
  <c r="G157" i="75" a="1"/>
  <c r="G157" i="75" s="1"/>
  <c r="C157" i="75" a="1"/>
  <c r="C157" i="75" s="1"/>
  <c r="G154" i="75"/>
  <c r="G154" i="75" a="1"/>
  <c r="C154" i="75" a="1"/>
  <c r="C154" i="75" s="1"/>
  <c r="G153" i="75"/>
  <c r="G153" i="75" a="1"/>
  <c r="C153" i="75" a="1"/>
  <c r="C153" i="75" s="1"/>
  <c r="G152" i="75" a="1"/>
  <c r="G152" i="75" s="1"/>
  <c r="C152" i="75" a="1"/>
  <c r="C152" i="75" s="1"/>
  <c r="G151" i="75" a="1"/>
  <c r="G151" i="75" s="1"/>
  <c r="C151" i="75" a="1"/>
  <c r="C151" i="75" s="1"/>
  <c r="G150" i="75"/>
  <c r="G150" i="75" a="1"/>
  <c r="C150" i="75" a="1"/>
  <c r="C150" i="75" s="1"/>
  <c r="G149" i="75"/>
  <c r="G149" i="75" a="1"/>
  <c r="C149" i="75" a="1"/>
  <c r="C149" i="75" s="1"/>
  <c r="G148" i="75" a="1"/>
  <c r="G148" i="75" s="1"/>
  <c r="C148" i="75" a="1"/>
  <c r="C148" i="75" s="1"/>
  <c r="G147" i="75" a="1"/>
  <c r="G147" i="75" s="1"/>
  <c r="C147" i="75" a="1"/>
  <c r="C147" i="75" s="1"/>
  <c r="C155" i="75" s="1"/>
  <c r="G146" i="75"/>
  <c r="G146" i="75" a="1"/>
  <c r="C146" i="75" a="1"/>
  <c r="C146" i="75" s="1"/>
  <c r="G143" i="75" a="1"/>
  <c r="G143" i="75" s="1"/>
  <c r="C143" i="75" a="1"/>
  <c r="C143" i="75" s="1"/>
  <c r="G142" i="75" a="1"/>
  <c r="G142" i="75" s="1"/>
  <c r="C142" i="75" a="1"/>
  <c r="C142" i="75" s="1"/>
  <c r="G141" i="75" a="1"/>
  <c r="G141" i="75" s="1"/>
  <c r="C141" i="75"/>
  <c r="C141" i="75" a="1"/>
  <c r="G140" i="75" a="1"/>
  <c r="G140" i="75" s="1"/>
  <c r="C140" i="75"/>
  <c r="C140" i="75" a="1"/>
  <c r="G139" i="75" a="1"/>
  <c r="G139" i="75" s="1"/>
  <c r="C139" i="75" a="1"/>
  <c r="C139" i="75" s="1"/>
  <c r="G138" i="75" a="1"/>
  <c r="G138" i="75" s="1"/>
  <c r="C138" i="75" a="1"/>
  <c r="C138" i="75" s="1"/>
  <c r="G137" i="75" a="1"/>
  <c r="G137" i="75" s="1"/>
  <c r="G144" i="75" s="1"/>
  <c r="C137" i="75"/>
  <c r="C137" i="75" a="1"/>
  <c r="G136" i="75" a="1"/>
  <c r="G136" i="75" s="1"/>
  <c r="C136" i="75"/>
  <c r="C136" i="75" a="1"/>
  <c r="G135" i="75" a="1"/>
  <c r="G135" i="75" s="1"/>
  <c r="C135" i="75" a="1"/>
  <c r="C135" i="75" s="1"/>
  <c r="C144" i="75" s="1"/>
  <c r="C133" i="75" a="1"/>
  <c r="C133" i="75" s="1"/>
  <c r="G132" i="75"/>
  <c r="G132" i="75" a="1"/>
  <c r="C132" i="75" a="1"/>
  <c r="C132" i="75" s="1"/>
  <c r="G131" i="75"/>
  <c r="G131" i="75" a="1"/>
  <c r="C131" i="75" a="1"/>
  <c r="C131" i="75" s="1"/>
  <c r="G130" i="75"/>
  <c r="G130" i="75" a="1"/>
  <c r="C130" i="75" a="1"/>
  <c r="C130" i="75" s="1"/>
  <c r="G129" i="75"/>
  <c r="G129" i="75" a="1"/>
  <c r="C129" i="75" a="1"/>
  <c r="C129" i="75" s="1"/>
  <c r="G128" i="75"/>
  <c r="G128" i="75" a="1"/>
  <c r="C128" i="75" a="1"/>
  <c r="C128" i="75" s="1"/>
  <c r="G127" i="75"/>
  <c r="G127" i="75" a="1"/>
  <c r="C127" i="75" a="1"/>
  <c r="C127" i="75" s="1"/>
  <c r="G126" i="75"/>
  <c r="G126" i="75" a="1"/>
  <c r="C126" i="75" a="1"/>
  <c r="C126" i="75" s="1"/>
  <c r="G125" i="75"/>
  <c r="G125" i="75" a="1"/>
  <c r="C125" i="75" a="1"/>
  <c r="C125" i="75" s="1"/>
  <c r="G124" i="75"/>
  <c r="G133" i="75" s="1"/>
  <c r="G124" i="75" a="1"/>
  <c r="C124" i="75" a="1"/>
  <c r="C124" i="75" s="1"/>
  <c r="C242" i="69"/>
  <c r="C242" i="69" a="1"/>
  <c r="C241" i="69" a="1"/>
  <c r="C241" i="69" s="1"/>
  <c r="C240" i="69"/>
  <c r="C240" i="69" a="1"/>
  <c r="C239" i="69" a="1"/>
  <c r="C239" i="69" s="1"/>
  <c r="C238" i="69"/>
  <c r="C238" i="69" a="1"/>
  <c r="C237" i="69" a="1"/>
  <c r="C237" i="69" s="1"/>
  <c r="C236" i="69"/>
  <c r="C236" i="69" a="1"/>
  <c r="C235" i="69" a="1"/>
  <c r="C235" i="69" s="1"/>
  <c r="C243" i="69" s="1"/>
  <c r="C234" i="69"/>
  <c r="C234" i="69" a="1"/>
  <c r="G231" i="69"/>
  <c r="G231" i="69" a="1"/>
  <c r="C231" i="69" a="1"/>
  <c r="C231" i="69" s="1"/>
  <c r="G230" i="69"/>
  <c r="G230" i="69" a="1"/>
  <c r="C230" i="69" a="1"/>
  <c r="C230" i="69" s="1"/>
  <c r="G229" i="69" a="1"/>
  <c r="G229" i="69" s="1"/>
  <c r="C229" i="69" a="1"/>
  <c r="C229" i="69" s="1"/>
  <c r="G228" i="69" a="1"/>
  <c r="G228" i="69" s="1"/>
  <c r="C228" i="69" a="1"/>
  <c r="C228" i="69" s="1"/>
  <c r="G227" i="69" a="1"/>
  <c r="G227" i="69" s="1"/>
  <c r="C227" i="69"/>
  <c r="C227" i="69" a="1"/>
  <c r="G226" i="69" a="1"/>
  <c r="G226" i="69" s="1"/>
  <c r="C226" i="69" a="1"/>
  <c r="C226" i="69" s="1"/>
  <c r="G225" i="69" a="1"/>
  <c r="G225" i="69" s="1"/>
  <c r="C225" i="69" a="1"/>
  <c r="C225" i="69" s="1"/>
  <c r="G224" i="69" a="1"/>
  <c r="G224" i="69" s="1"/>
  <c r="C224" i="69" a="1"/>
  <c r="C224" i="69" s="1"/>
  <c r="G223" i="69" a="1"/>
  <c r="G223" i="69" s="1"/>
  <c r="G232" i="69" s="1"/>
  <c r="C223" i="69"/>
  <c r="C223" i="69" a="1"/>
  <c r="G220" i="69" a="1"/>
  <c r="G220" i="69" s="1"/>
  <c r="C220" i="69" a="1"/>
  <c r="C220" i="69" s="1"/>
  <c r="G219" i="69" a="1"/>
  <c r="G219" i="69" s="1"/>
  <c r="C219" i="69" a="1"/>
  <c r="C219" i="69" s="1"/>
  <c r="G218" i="69" a="1"/>
  <c r="G218" i="69" s="1"/>
  <c r="C218" i="69" a="1"/>
  <c r="C218" i="69" s="1"/>
  <c r="G217" i="69"/>
  <c r="G217" i="69" a="1"/>
  <c r="C217" i="69" a="1"/>
  <c r="C217" i="69" s="1"/>
  <c r="G216" i="69" a="1"/>
  <c r="G216" i="69" s="1"/>
  <c r="C216" i="69" a="1"/>
  <c r="C216" i="69" s="1"/>
  <c r="G215" i="69" a="1"/>
  <c r="G215" i="69" s="1"/>
  <c r="C215" i="69" a="1"/>
  <c r="C215" i="69" s="1"/>
  <c r="G214" i="69" a="1"/>
  <c r="G214" i="69" s="1"/>
  <c r="C214" i="69" a="1"/>
  <c r="C214" i="69" s="1"/>
  <c r="G213" i="69"/>
  <c r="G213" i="69" a="1"/>
  <c r="C213" i="69" a="1"/>
  <c r="C213" i="69" s="1"/>
  <c r="G212" i="69" a="1"/>
  <c r="G212" i="69" s="1"/>
  <c r="C212" i="69" a="1"/>
  <c r="C212" i="69" s="1"/>
  <c r="C221" i="69" s="1"/>
  <c r="G209" i="69" a="1"/>
  <c r="G209" i="69" s="1"/>
  <c r="C209" i="69" a="1"/>
  <c r="C209" i="69" s="1"/>
  <c r="G208" i="69" a="1"/>
  <c r="G208" i="69" s="1"/>
  <c r="C208" i="69"/>
  <c r="C208" i="69" a="1"/>
  <c r="G207" i="69" a="1"/>
  <c r="G207" i="69" s="1"/>
  <c r="C207" i="69" a="1"/>
  <c r="C207" i="69" s="1"/>
  <c r="G206" i="69" a="1"/>
  <c r="G206" i="69" s="1"/>
  <c r="C206" i="69" a="1"/>
  <c r="C206" i="69" s="1"/>
  <c r="G205" i="69" a="1"/>
  <c r="G205" i="69" s="1"/>
  <c r="C205" i="69" a="1"/>
  <c r="C205" i="69" s="1"/>
  <c r="G204" i="69" a="1"/>
  <c r="G204" i="69" s="1"/>
  <c r="C204" i="69"/>
  <c r="C204" i="69" a="1"/>
  <c r="G203" i="69" a="1"/>
  <c r="G203" i="69" s="1"/>
  <c r="C203" i="69" a="1"/>
  <c r="C203" i="69" s="1"/>
  <c r="G202" i="69" a="1"/>
  <c r="G202" i="69" s="1"/>
  <c r="C202" i="69" a="1"/>
  <c r="C202" i="69" s="1"/>
  <c r="G201" i="69" a="1"/>
  <c r="G201" i="69" s="1"/>
  <c r="G210" i="69" s="1"/>
  <c r="C201" i="69" a="1"/>
  <c r="C201" i="69" s="1"/>
  <c r="G198" i="69"/>
  <c r="G198" i="69" a="1"/>
  <c r="C198" i="69" a="1"/>
  <c r="C198" i="69" s="1"/>
  <c r="G197" i="69" a="1"/>
  <c r="G197" i="69" s="1"/>
  <c r="C197" i="69" a="1"/>
  <c r="C197" i="69" s="1"/>
  <c r="G196" i="69" a="1"/>
  <c r="G196" i="69" s="1"/>
  <c r="C196" i="69" a="1"/>
  <c r="C196" i="69" s="1"/>
  <c r="G195" i="69" a="1"/>
  <c r="G195" i="69" s="1"/>
  <c r="C195" i="69" a="1"/>
  <c r="C195" i="69" s="1"/>
  <c r="G194" i="69"/>
  <c r="G194" i="69" a="1"/>
  <c r="C194" i="69" a="1"/>
  <c r="C194" i="69" s="1"/>
  <c r="G193" i="69" a="1"/>
  <c r="G193" i="69" s="1"/>
  <c r="C193" i="69" a="1"/>
  <c r="C193" i="69" s="1"/>
  <c r="G192" i="69" a="1"/>
  <c r="G192" i="69" s="1"/>
  <c r="C192" i="69" a="1"/>
  <c r="C192" i="69" s="1"/>
  <c r="G191" i="69" a="1"/>
  <c r="G191" i="69" s="1"/>
  <c r="C191" i="69" a="1"/>
  <c r="C191" i="69" s="1"/>
  <c r="C199" i="69" s="1"/>
  <c r="G190" i="69"/>
  <c r="G190" i="69" a="1"/>
  <c r="C190" i="69" a="1"/>
  <c r="C190" i="69" s="1"/>
  <c r="G187" i="69" a="1"/>
  <c r="G187" i="69" s="1"/>
  <c r="C187" i="69" a="1"/>
  <c r="C187" i="69" s="1"/>
  <c r="G186" i="69" a="1"/>
  <c r="G186" i="69" s="1"/>
  <c r="C186" i="69" a="1"/>
  <c r="C186" i="69" s="1"/>
  <c r="G185" i="69" a="1"/>
  <c r="G185" i="69" s="1"/>
  <c r="C185" i="69"/>
  <c r="C185" i="69" a="1"/>
  <c r="G184" i="69" a="1"/>
  <c r="G184" i="69" s="1"/>
  <c r="C184" i="69" a="1"/>
  <c r="C184" i="69" s="1"/>
  <c r="G183" i="69" a="1"/>
  <c r="G183" i="69" s="1"/>
  <c r="C183" i="69" a="1"/>
  <c r="C183" i="69" s="1"/>
  <c r="G182" i="69" a="1"/>
  <c r="G182" i="69" s="1"/>
  <c r="C182" i="69" a="1"/>
  <c r="C182" i="69" s="1"/>
  <c r="G181" i="69" a="1"/>
  <c r="G181" i="69" s="1"/>
  <c r="G188" i="69" s="1"/>
  <c r="C181" i="69"/>
  <c r="C181" i="69" a="1"/>
  <c r="G180" i="69" a="1"/>
  <c r="G180" i="69" s="1"/>
  <c r="C180" i="69" a="1"/>
  <c r="C180" i="69" s="1"/>
  <c r="G179" i="69" a="1"/>
  <c r="G179" i="69" s="1"/>
  <c r="C179" i="69" a="1"/>
  <c r="C179" i="69" s="1"/>
  <c r="G176" i="69" a="1"/>
  <c r="G176" i="69" s="1"/>
  <c r="C176" i="69" a="1"/>
  <c r="C176" i="69" s="1"/>
  <c r="G175" i="69"/>
  <c r="G175" i="69" a="1"/>
  <c r="C175" i="69" a="1"/>
  <c r="C175" i="69" s="1"/>
  <c r="G174" i="69" a="1"/>
  <c r="G174" i="69" s="1"/>
  <c r="C174" i="69" a="1"/>
  <c r="C174" i="69" s="1"/>
  <c r="G173" i="69" a="1"/>
  <c r="G173" i="69" s="1"/>
  <c r="C173" i="69" a="1"/>
  <c r="C173" i="69" s="1"/>
  <c r="G172" i="69" a="1"/>
  <c r="G172" i="69" s="1"/>
  <c r="C172" i="69" a="1"/>
  <c r="C172" i="69" s="1"/>
  <c r="G171" i="69"/>
  <c r="G171" i="69" a="1"/>
  <c r="C171" i="69" a="1"/>
  <c r="C171" i="69" s="1"/>
  <c r="G170" i="69" a="1"/>
  <c r="G170" i="69" s="1"/>
  <c r="C170" i="69" a="1"/>
  <c r="C170" i="69" s="1"/>
  <c r="G169" i="69" a="1"/>
  <c r="G169" i="69" s="1"/>
  <c r="C169" i="69" a="1"/>
  <c r="C169" i="69" s="1"/>
  <c r="C177" i="69" s="1"/>
  <c r="G168" i="69" a="1"/>
  <c r="G168" i="69" s="1"/>
  <c r="C168" i="69" a="1"/>
  <c r="C168" i="69" s="1"/>
  <c r="G165" i="69" a="1"/>
  <c r="G165" i="69" s="1"/>
  <c r="C165" i="69" a="1"/>
  <c r="C165" i="69" s="1"/>
  <c r="G164" i="69" a="1"/>
  <c r="G164" i="69" s="1"/>
  <c r="C164" i="69" a="1"/>
  <c r="C164" i="69" s="1"/>
  <c r="G163" i="69" a="1"/>
  <c r="G163" i="69" s="1"/>
  <c r="C163" i="69" a="1"/>
  <c r="C163" i="69" s="1"/>
  <c r="G162" i="69" a="1"/>
  <c r="G162" i="69" s="1"/>
  <c r="C162" i="69"/>
  <c r="C162" i="69" a="1"/>
  <c r="G161" i="69" a="1"/>
  <c r="G161" i="69" s="1"/>
  <c r="C161" i="69" a="1"/>
  <c r="C161" i="69" s="1"/>
  <c r="G160" i="69" a="1"/>
  <c r="G160" i="69" s="1"/>
  <c r="C160" i="69" a="1"/>
  <c r="C160" i="69" s="1"/>
  <c r="G159" i="69" a="1"/>
  <c r="G159" i="69" s="1"/>
  <c r="G166" i="69" s="1"/>
  <c r="C159" i="69" a="1"/>
  <c r="C159" i="69" s="1"/>
  <c r="G158" i="69" a="1"/>
  <c r="G158" i="69" s="1"/>
  <c r="C158" i="69"/>
  <c r="C158" i="69" a="1"/>
  <c r="G157" i="69" a="1"/>
  <c r="G157" i="69" s="1"/>
  <c r="C157" i="69" a="1"/>
  <c r="C157" i="69" s="1"/>
  <c r="G154" i="69" a="1"/>
  <c r="G154" i="69" s="1"/>
  <c r="C154" i="69" a="1"/>
  <c r="C154" i="69" s="1"/>
  <c r="G153" i="69" a="1"/>
  <c r="G153" i="69" s="1"/>
  <c r="C153" i="69" a="1"/>
  <c r="C153" i="69" s="1"/>
  <c r="G152" i="69"/>
  <c r="G152" i="69" a="1"/>
  <c r="C152" i="69" a="1"/>
  <c r="C152" i="69" s="1"/>
  <c r="G151" i="69" a="1"/>
  <c r="G151" i="69" s="1"/>
  <c r="C151" i="69" a="1"/>
  <c r="C151" i="69" s="1"/>
  <c r="G150" i="69" a="1"/>
  <c r="G150" i="69" s="1"/>
  <c r="C150" i="69" a="1"/>
  <c r="C150" i="69" s="1"/>
  <c r="G149" i="69" a="1"/>
  <c r="G149" i="69" s="1"/>
  <c r="C149" i="69" a="1"/>
  <c r="C149" i="69" s="1"/>
  <c r="G148" i="69"/>
  <c r="G148" i="69" a="1"/>
  <c r="C148" i="69" a="1"/>
  <c r="C148" i="69" s="1"/>
  <c r="G147" i="69" a="1"/>
  <c r="G147" i="69" s="1"/>
  <c r="C147" i="69" a="1"/>
  <c r="C147" i="69" s="1"/>
  <c r="G146" i="69" a="1"/>
  <c r="G146" i="69" s="1"/>
  <c r="C146" i="69" a="1"/>
  <c r="C146" i="69" s="1"/>
  <c r="C155" i="69" s="1"/>
  <c r="G143" i="69" a="1"/>
  <c r="G143" i="69" s="1"/>
  <c r="C143" i="69"/>
  <c r="C143" i="69" a="1"/>
  <c r="G142" i="69" a="1"/>
  <c r="G142" i="69" s="1"/>
  <c r="C142" i="69" a="1"/>
  <c r="C142" i="69" s="1"/>
  <c r="G141" i="69" a="1"/>
  <c r="G141" i="69" s="1"/>
  <c r="C141" i="69" a="1"/>
  <c r="C141" i="69" s="1"/>
  <c r="G140" i="69" a="1"/>
  <c r="G140" i="69" s="1"/>
  <c r="C140" i="69" a="1"/>
  <c r="C140" i="69" s="1"/>
  <c r="G139" i="69" a="1"/>
  <c r="G139" i="69" s="1"/>
  <c r="C139" i="69"/>
  <c r="C139" i="69" a="1"/>
  <c r="G138" i="69" a="1"/>
  <c r="G138" i="69" s="1"/>
  <c r="C138" i="69" a="1"/>
  <c r="C138" i="69" s="1"/>
  <c r="G137" i="69" a="1"/>
  <c r="G137" i="69" s="1"/>
  <c r="C137" i="69" a="1"/>
  <c r="C137" i="69" s="1"/>
  <c r="G136" i="69" a="1"/>
  <c r="G136" i="69" s="1"/>
  <c r="C136" i="69" a="1"/>
  <c r="C136" i="69" s="1"/>
  <c r="G135" i="69" a="1"/>
  <c r="G135" i="69" s="1"/>
  <c r="G144" i="69" s="1"/>
  <c r="C135" i="69" a="1"/>
  <c r="C135" i="69" s="1"/>
  <c r="C133" i="69" a="1"/>
  <c r="C133" i="69" s="1"/>
  <c r="G132" i="69" a="1"/>
  <c r="G132" i="69" s="1"/>
  <c r="C132" i="69" a="1"/>
  <c r="C132" i="69" s="1"/>
  <c r="G131" i="69" a="1"/>
  <c r="G131" i="69" s="1"/>
  <c r="C131" i="69" a="1"/>
  <c r="C131" i="69" s="1"/>
  <c r="G130" i="69" a="1"/>
  <c r="G130" i="69" s="1"/>
  <c r="C130" i="69" a="1"/>
  <c r="C130" i="69" s="1"/>
  <c r="G129" i="69" a="1"/>
  <c r="G129" i="69" s="1"/>
  <c r="C129" i="69" a="1"/>
  <c r="C129" i="69" s="1"/>
  <c r="G128" i="69" a="1"/>
  <c r="G128" i="69" s="1"/>
  <c r="C128" i="69" a="1"/>
  <c r="C128" i="69" s="1"/>
  <c r="G127" i="69" a="1"/>
  <c r="G127" i="69" s="1"/>
  <c r="C127" i="69" a="1"/>
  <c r="C127" i="69" s="1"/>
  <c r="G126" i="69" a="1"/>
  <c r="G126" i="69" s="1"/>
  <c r="C126" i="69" a="1"/>
  <c r="C126" i="69" s="1"/>
  <c r="G125" i="69" a="1"/>
  <c r="G125" i="69" s="1"/>
  <c r="C125" i="69" a="1"/>
  <c r="C125" i="69" s="1"/>
  <c r="G124" i="69" a="1"/>
  <c r="G124" i="69" s="1"/>
  <c r="C124" i="69" a="1"/>
  <c r="C124" i="69" s="1"/>
  <c r="C242" i="66"/>
  <c r="C242" i="66" a="1"/>
  <c r="C241" i="66" a="1"/>
  <c r="C241" i="66" s="1"/>
  <c r="C240" i="66"/>
  <c r="C240" i="66" a="1"/>
  <c r="C239" i="66" a="1"/>
  <c r="C239" i="66" s="1"/>
  <c r="C238" i="66"/>
  <c r="C238" i="66" a="1"/>
  <c r="C237" i="66" a="1"/>
  <c r="C237" i="66" s="1"/>
  <c r="C236" i="66"/>
  <c r="C236" i="66" a="1"/>
  <c r="C235" i="66" a="1"/>
  <c r="C235" i="66" s="1"/>
  <c r="C243" i="66" s="1"/>
  <c r="C234" i="66"/>
  <c r="C234" i="66" a="1"/>
  <c r="G231" i="66"/>
  <c r="G231" i="66" a="1"/>
  <c r="C231" i="66"/>
  <c r="C231" i="66" a="1"/>
  <c r="G230" i="66"/>
  <c r="G230" i="66" a="1"/>
  <c r="C230" i="66"/>
  <c r="C230" i="66" a="1"/>
  <c r="G229" i="66" a="1"/>
  <c r="G229" i="66" s="1"/>
  <c r="C229" i="66" a="1"/>
  <c r="C229" i="66" s="1"/>
  <c r="G228" i="66" a="1"/>
  <c r="G228" i="66" s="1"/>
  <c r="C228" i="66" a="1"/>
  <c r="C228" i="66" s="1"/>
  <c r="G227" i="66" a="1"/>
  <c r="G227" i="66" s="1"/>
  <c r="C227" i="66"/>
  <c r="C227" i="66" a="1"/>
  <c r="G226" i="66" a="1"/>
  <c r="G226" i="66" s="1"/>
  <c r="C226" i="66"/>
  <c r="C226" i="66" a="1"/>
  <c r="G225" i="66" a="1"/>
  <c r="G225" i="66" s="1"/>
  <c r="C225" i="66" a="1"/>
  <c r="C225" i="66" s="1"/>
  <c r="G224" i="66" a="1"/>
  <c r="G224" i="66" s="1"/>
  <c r="C224" i="66" a="1"/>
  <c r="C224" i="66" s="1"/>
  <c r="G223" i="66" a="1"/>
  <c r="G223" i="66" s="1"/>
  <c r="G232" i="66" s="1"/>
  <c r="C223" i="66"/>
  <c r="C232" i="66" s="1"/>
  <c r="C223" i="66" a="1"/>
  <c r="G220" i="66"/>
  <c r="G220" i="66" a="1"/>
  <c r="C220" i="66" a="1"/>
  <c r="C220" i="66" s="1"/>
  <c r="G219" i="66" a="1"/>
  <c r="G219" i="66" s="1"/>
  <c r="C219" i="66" a="1"/>
  <c r="C219" i="66" s="1"/>
  <c r="G218" i="66" a="1"/>
  <c r="G218" i="66" s="1"/>
  <c r="C218" i="66" a="1"/>
  <c r="C218" i="66" s="1"/>
  <c r="G217" i="66"/>
  <c r="G217" i="66" a="1"/>
  <c r="C217" i="66" a="1"/>
  <c r="C217" i="66" s="1"/>
  <c r="G216" i="66"/>
  <c r="G216" i="66" a="1"/>
  <c r="C216" i="66" a="1"/>
  <c r="C216" i="66" s="1"/>
  <c r="G215" i="66" a="1"/>
  <c r="G215" i="66" s="1"/>
  <c r="C215" i="66" a="1"/>
  <c r="C215" i="66" s="1"/>
  <c r="G214" i="66" a="1"/>
  <c r="G214" i="66" s="1"/>
  <c r="C214" i="66" a="1"/>
  <c r="C214" i="66" s="1"/>
  <c r="G213" i="66"/>
  <c r="G213" i="66" a="1"/>
  <c r="C213" i="66" a="1"/>
  <c r="C213" i="66" s="1"/>
  <c r="C221" i="66" s="1"/>
  <c r="G212" i="66"/>
  <c r="G212" i="66" a="1"/>
  <c r="C212" i="66" a="1"/>
  <c r="C212" i="66" s="1"/>
  <c r="G209" i="66" a="1"/>
  <c r="G209" i="66" s="1"/>
  <c r="C209" i="66" a="1"/>
  <c r="C209" i="66" s="1"/>
  <c r="G208" i="66" a="1"/>
  <c r="G208" i="66" s="1"/>
  <c r="C208" i="66"/>
  <c r="C208" i="66" a="1"/>
  <c r="G207" i="66" a="1"/>
  <c r="G207" i="66" s="1"/>
  <c r="C207" i="66"/>
  <c r="C207" i="66" a="1"/>
  <c r="G206" i="66" a="1"/>
  <c r="G206" i="66" s="1"/>
  <c r="C206" i="66" a="1"/>
  <c r="C206" i="66" s="1"/>
  <c r="G205" i="66" a="1"/>
  <c r="G205" i="66" s="1"/>
  <c r="C205" i="66" a="1"/>
  <c r="C205" i="66" s="1"/>
  <c r="G204" i="66" a="1"/>
  <c r="G204" i="66" s="1"/>
  <c r="C204" i="66"/>
  <c r="C204" i="66" a="1"/>
  <c r="G203" i="66" a="1"/>
  <c r="G203" i="66" s="1"/>
  <c r="G210" i="66" s="1"/>
  <c r="C203" i="66"/>
  <c r="C203" i="66" a="1"/>
  <c r="G202" i="66" a="1"/>
  <c r="G202" i="66" s="1"/>
  <c r="C202" i="66" a="1"/>
  <c r="C202" i="66" s="1"/>
  <c r="G201" i="66" a="1"/>
  <c r="G201" i="66" s="1"/>
  <c r="C201" i="66" a="1"/>
  <c r="C201" i="66" s="1"/>
  <c r="G198" i="66"/>
  <c r="G198" i="66" a="1"/>
  <c r="C198" i="66" a="1"/>
  <c r="C198" i="66" s="1"/>
  <c r="G197" i="66"/>
  <c r="G197" i="66" a="1"/>
  <c r="C197" i="66" a="1"/>
  <c r="C197" i="66" s="1"/>
  <c r="G196" i="66" a="1"/>
  <c r="G196" i="66" s="1"/>
  <c r="C196" i="66" a="1"/>
  <c r="C196" i="66" s="1"/>
  <c r="G195" i="66" a="1"/>
  <c r="G195" i="66" s="1"/>
  <c r="C195" i="66" a="1"/>
  <c r="C195" i="66" s="1"/>
  <c r="G194" i="66"/>
  <c r="G194" i="66" a="1"/>
  <c r="C194" i="66" a="1"/>
  <c r="C194" i="66" s="1"/>
  <c r="G193" i="66"/>
  <c r="G193" i="66" a="1"/>
  <c r="C193" i="66" a="1"/>
  <c r="C193" i="66" s="1"/>
  <c r="G192" i="66" a="1"/>
  <c r="G192" i="66" s="1"/>
  <c r="C192" i="66" a="1"/>
  <c r="C192" i="66" s="1"/>
  <c r="G191" i="66" a="1"/>
  <c r="G191" i="66" s="1"/>
  <c r="C191" i="66" a="1"/>
  <c r="C191" i="66" s="1"/>
  <c r="C199" i="66" s="1"/>
  <c r="G190" i="66" a="1"/>
  <c r="G190" i="66" s="1"/>
  <c r="C190" i="66" a="1"/>
  <c r="C190" i="66" s="1"/>
  <c r="G187" i="66" a="1"/>
  <c r="G187" i="66" s="1"/>
  <c r="C187" i="66" a="1"/>
  <c r="C187" i="66" s="1"/>
  <c r="G186" i="66" a="1"/>
  <c r="G186" i="66" s="1"/>
  <c r="C186" i="66" a="1"/>
  <c r="C186" i="66" s="1"/>
  <c r="G185" i="66" a="1"/>
  <c r="G185" i="66" s="1"/>
  <c r="C185" i="66" a="1"/>
  <c r="C185" i="66" s="1"/>
  <c r="G184" i="66" a="1"/>
  <c r="G184" i="66" s="1"/>
  <c r="C184" i="66"/>
  <c r="C184" i="66" a="1"/>
  <c r="G183" i="66" a="1"/>
  <c r="G183" i="66" s="1"/>
  <c r="C183" i="66" a="1"/>
  <c r="C183" i="66" s="1"/>
  <c r="G182" i="66" a="1"/>
  <c r="G182" i="66" s="1"/>
  <c r="C182" i="66" a="1"/>
  <c r="C182" i="66" s="1"/>
  <c r="G181" i="66" a="1"/>
  <c r="G181" i="66" s="1"/>
  <c r="G188" i="66" s="1"/>
  <c r="C181" i="66" a="1"/>
  <c r="C181" i="66" s="1"/>
  <c r="G180" i="66" a="1"/>
  <c r="G180" i="66" s="1"/>
  <c r="C180" i="66"/>
  <c r="C180" i="66" a="1"/>
  <c r="G179" i="66" a="1"/>
  <c r="G179" i="66" s="1"/>
  <c r="C179" i="66" a="1"/>
  <c r="C179" i="66" s="1"/>
  <c r="G176" i="66" a="1"/>
  <c r="G176" i="66" s="1"/>
  <c r="C176" i="66" a="1"/>
  <c r="C176" i="66" s="1"/>
  <c r="G175" i="66" a="1"/>
  <c r="G175" i="66" s="1"/>
  <c r="C175" i="66" a="1"/>
  <c r="C175" i="66" s="1"/>
  <c r="G174" i="66"/>
  <c r="G174" i="66" a="1"/>
  <c r="C174" i="66" a="1"/>
  <c r="C174" i="66" s="1"/>
  <c r="G173" i="66" a="1"/>
  <c r="G173" i="66" s="1"/>
  <c r="C173" i="66" a="1"/>
  <c r="C173" i="66" s="1"/>
  <c r="G172" i="66" a="1"/>
  <c r="G172" i="66" s="1"/>
  <c r="C172" i="66" a="1"/>
  <c r="C172" i="66" s="1"/>
  <c r="G171" i="66" a="1"/>
  <c r="G171" i="66" s="1"/>
  <c r="C171" i="66" a="1"/>
  <c r="C171" i="66" s="1"/>
  <c r="G170" i="66"/>
  <c r="G170" i="66" a="1"/>
  <c r="C170" i="66" a="1"/>
  <c r="C170" i="66" s="1"/>
  <c r="G169" i="66" a="1"/>
  <c r="G169" i="66" s="1"/>
  <c r="C169" i="66" a="1"/>
  <c r="C169" i="66" s="1"/>
  <c r="G168" i="66" a="1"/>
  <c r="G168" i="66" s="1"/>
  <c r="C168" i="66" a="1"/>
  <c r="C168" i="66" s="1"/>
  <c r="C177" i="66" s="1"/>
  <c r="G165" i="66" a="1"/>
  <c r="G165" i="66" s="1"/>
  <c r="C165" i="66"/>
  <c r="C165" i="66" a="1"/>
  <c r="G164" i="66" a="1"/>
  <c r="G164" i="66" s="1"/>
  <c r="C164" i="66" a="1"/>
  <c r="C164" i="66" s="1"/>
  <c r="G163" i="66" a="1"/>
  <c r="G163" i="66" s="1"/>
  <c r="C163" i="66" a="1"/>
  <c r="C163" i="66" s="1"/>
  <c r="G162" i="66" a="1"/>
  <c r="G162" i="66" s="1"/>
  <c r="C162" i="66" a="1"/>
  <c r="C162" i="66" s="1"/>
  <c r="G161" i="66" a="1"/>
  <c r="G161" i="66" s="1"/>
  <c r="C161" i="66"/>
  <c r="C161" i="66" a="1"/>
  <c r="G160" i="66" a="1"/>
  <c r="G160" i="66" s="1"/>
  <c r="C160" i="66" a="1"/>
  <c r="C160" i="66" s="1"/>
  <c r="G159" i="66" a="1"/>
  <c r="G159" i="66" s="1"/>
  <c r="C159" i="66" a="1"/>
  <c r="C159" i="66" s="1"/>
  <c r="G158" i="66" a="1"/>
  <c r="G158" i="66" s="1"/>
  <c r="C158" i="66" a="1"/>
  <c r="C158" i="66" s="1"/>
  <c r="G157" i="66" a="1"/>
  <c r="G157" i="66" s="1"/>
  <c r="G166" i="66" s="1"/>
  <c r="C157" i="66"/>
  <c r="C157" i="66" a="1"/>
  <c r="G154" i="66" a="1"/>
  <c r="G154" i="66" s="1"/>
  <c r="C154" i="66" a="1"/>
  <c r="C154" i="66" s="1"/>
  <c r="G153" i="66" a="1"/>
  <c r="G153" i="66" s="1"/>
  <c r="C153" i="66" a="1"/>
  <c r="C153" i="66" s="1"/>
  <c r="G152" i="66" a="1"/>
  <c r="G152" i="66" s="1"/>
  <c r="C152" i="66" a="1"/>
  <c r="C152" i="66" s="1"/>
  <c r="G151" i="66"/>
  <c r="G151" i="66" a="1"/>
  <c r="C151" i="66" a="1"/>
  <c r="C151" i="66" s="1"/>
  <c r="G150" i="66" a="1"/>
  <c r="G150" i="66" s="1"/>
  <c r="C150" i="66" a="1"/>
  <c r="C150" i="66" s="1"/>
  <c r="G149" i="66" a="1"/>
  <c r="G149" i="66" s="1"/>
  <c r="C149" i="66" a="1"/>
  <c r="C149" i="66" s="1"/>
  <c r="G148" i="66" a="1"/>
  <c r="G148" i="66" s="1"/>
  <c r="C148" i="66" a="1"/>
  <c r="C148" i="66" s="1"/>
  <c r="G147" i="66"/>
  <c r="G147" i="66" a="1"/>
  <c r="C147" i="66" a="1"/>
  <c r="C147" i="66" s="1"/>
  <c r="G146" i="66" a="1"/>
  <c r="G146" i="66" s="1"/>
  <c r="C146" i="66" a="1"/>
  <c r="C146" i="66" s="1"/>
  <c r="C155" i="66" s="1"/>
  <c r="G143" i="66" a="1"/>
  <c r="G143" i="66" s="1"/>
  <c r="C143" i="66" a="1"/>
  <c r="C143" i="66" s="1"/>
  <c r="G142" i="66" a="1"/>
  <c r="G142" i="66" s="1"/>
  <c r="C142" i="66"/>
  <c r="C142" i="66" a="1"/>
  <c r="G141" i="66" a="1"/>
  <c r="G141" i="66" s="1"/>
  <c r="C141" i="66" a="1"/>
  <c r="C141" i="66" s="1"/>
  <c r="G140" i="66" a="1"/>
  <c r="G140" i="66" s="1"/>
  <c r="C140" i="66" a="1"/>
  <c r="C140" i="66" s="1"/>
  <c r="G139" i="66" a="1"/>
  <c r="G139" i="66" s="1"/>
  <c r="C139" i="66" a="1"/>
  <c r="C139" i="66" s="1"/>
  <c r="G138" i="66" a="1"/>
  <c r="G138" i="66" s="1"/>
  <c r="C138" i="66"/>
  <c r="C138" i="66" a="1"/>
  <c r="G137" i="66" a="1"/>
  <c r="G137" i="66" s="1"/>
  <c r="C137" i="66" a="1"/>
  <c r="C137" i="66" s="1"/>
  <c r="G136" i="66" a="1"/>
  <c r="G136" i="66" s="1"/>
  <c r="C136" i="66" a="1"/>
  <c r="C136" i="66" s="1"/>
  <c r="G135" i="66"/>
  <c r="G144" i="66" s="1"/>
  <c r="G135" i="66" a="1"/>
  <c r="C135" i="66" a="1"/>
  <c r="C135" i="66" s="1"/>
  <c r="C133" i="66" a="1"/>
  <c r="C133" i="66" s="1"/>
  <c r="G132" i="66"/>
  <c r="G132" i="66" a="1"/>
  <c r="C132" i="66" a="1"/>
  <c r="C132" i="66" s="1"/>
  <c r="G131" i="66"/>
  <c r="G131" i="66" a="1"/>
  <c r="C131" i="66" a="1"/>
  <c r="C131" i="66" s="1"/>
  <c r="G130" i="66"/>
  <c r="G130" i="66" a="1"/>
  <c r="C130" i="66" a="1"/>
  <c r="C130" i="66" s="1"/>
  <c r="G129" i="66"/>
  <c r="G129" i="66" a="1"/>
  <c r="C129" i="66" a="1"/>
  <c r="C129" i="66" s="1"/>
  <c r="G128" i="66"/>
  <c r="G128" i="66" a="1"/>
  <c r="C128" i="66" a="1"/>
  <c r="C128" i="66" s="1"/>
  <c r="G127" i="66"/>
  <c r="G127" i="66" a="1"/>
  <c r="C127" i="66" a="1"/>
  <c r="C127" i="66" s="1"/>
  <c r="G126" i="66"/>
  <c r="G126" i="66" a="1"/>
  <c r="C126" i="66" a="1"/>
  <c r="C126" i="66" s="1"/>
  <c r="G125" i="66"/>
  <c r="G125" i="66" a="1"/>
  <c r="C125" i="66" a="1"/>
  <c r="C125" i="66" s="1"/>
  <c r="G124" i="66"/>
  <c r="G133" i="66" s="1"/>
  <c r="G124" i="66" a="1"/>
  <c r="C124" i="66" a="1"/>
  <c r="C124" i="66" s="1"/>
  <c r="C242" i="65" a="1"/>
  <c r="C242" i="65" s="1"/>
  <c r="C241" i="65" a="1"/>
  <c r="C241" i="65" s="1"/>
  <c r="C240" i="65" a="1"/>
  <c r="C240" i="65" s="1"/>
  <c r="C239" i="65" a="1"/>
  <c r="C239" i="65" s="1"/>
  <c r="C238" i="65" a="1"/>
  <c r="C238" i="65" s="1"/>
  <c r="C237" i="65" a="1"/>
  <c r="C237" i="65" s="1"/>
  <c r="C236" i="65" a="1"/>
  <c r="C236" i="65" s="1"/>
  <c r="C235" i="65" a="1"/>
  <c r="C235" i="65" s="1"/>
  <c r="C234" i="65" a="1"/>
  <c r="C234" i="65" s="1"/>
  <c r="G231" i="65" a="1"/>
  <c r="G231" i="65" s="1"/>
  <c r="C231" i="65" a="1"/>
  <c r="C231" i="65" s="1"/>
  <c r="G230" i="65" a="1"/>
  <c r="G230" i="65" s="1"/>
  <c r="C230" i="65" a="1"/>
  <c r="C230" i="65" s="1"/>
  <c r="G229" i="65" a="1"/>
  <c r="G229" i="65" s="1"/>
  <c r="C229" i="65" a="1"/>
  <c r="C229" i="65" s="1"/>
  <c r="G228" i="65" a="1"/>
  <c r="G228" i="65" s="1"/>
  <c r="C228" i="65" a="1"/>
  <c r="C228" i="65" s="1"/>
  <c r="G227" i="65" a="1"/>
  <c r="G227" i="65" s="1"/>
  <c r="C227" i="65" a="1"/>
  <c r="C227" i="65" s="1"/>
  <c r="G226" i="65" a="1"/>
  <c r="G226" i="65" s="1"/>
  <c r="C226" i="65" a="1"/>
  <c r="C226" i="65" s="1"/>
  <c r="G225" i="65" a="1"/>
  <c r="G225" i="65" s="1"/>
  <c r="C225" i="65" a="1"/>
  <c r="C225" i="65" s="1"/>
  <c r="G224" i="65" a="1"/>
  <c r="G224" i="65" s="1"/>
  <c r="C224" i="65" a="1"/>
  <c r="C224" i="65" s="1"/>
  <c r="G223" i="65" a="1"/>
  <c r="G223" i="65" s="1"/>
  <c r="C223" i="65" a="1"/>
  <c r="C223" i="65" s="1"/>
  <c r="G220" i="65" a="1"/>
  <c r="G220" i="65" s="1"/>
  <c r="C220" i="65" a="1"/>
  <c r="C220" i="65" s="1"/>
  <c r="G219" i="65" a="1"/>
  <c r="G219" i="65" s="1"/>
  <c r="C219" i="65" a="1"/>
  <c r="C219" i="65" s="1"/>
  <c r="G218" i="65" a="1"/>
  <c r="G218" i="65" s="1"/>
  <c r="C218" i="65" a="1"/>
  <c r="C218" i="65" s="1"/>
  <c r="G217" i="65" a="1"/>
  <c r="G217" i="65" s="1"/>
  <c r="C217" i="65" a="1"/>
  <c r="C217" i="65" s="1"/>
  <c r="G216" i="65" a="1"/>
  <c r="G216" i="65" s="1"/>
  <c r="C216" i="65" a="1"/>
  <c r="C216" i="65" s="1"/>
  <c r="G215" i="65" a="1"/>
  <c r="G215" i="65" s="1"/>
  <c r="C215" i="65" a="1"/>
  <c r="C215" i="65" s="1"/>
  <c r="G214" i="65" a="1"/>
  <c r="G214" i="65" s="1"/>
  <c r="C214" i="65" a="1"/>
  <c r="C214" i="65" s="1"/>
  <c r="G213" i="65" a="1"/>
  <c r="G213" i="65" s="1"/>
  <c r="C213" i="65" a="1"/>
  <c r="C213" i="65" s="1"/>
  <c r="G212" i="65"/>
  <c r="G212" i="65" a="1"/>
  <c r="C212" i="65" a="1"/>
  <c r="C212" i="65" s="1"/>
  <c r="G209" i="65" a="1"/>
  <c r="G209" i="65" s="1"/>
  <c r="C209" i="65" a="1"/>
  <c r="C209" i="65" s="1"/>
  <c r="G208" i="65" a="1"/>
  <c r="G208" i="65" s="1"/>
  <c r="C208" i="65" a="1"/>
  <c r="C208" i="65" s="1"/>
  <c r="G207" i="65" a="1"/>
  <c r="G207" i="65" s="1"/>
  <c r="C207" i="65" a="1"/>
  <c r="C207" i="65" s="1"/>
  <c r="G206" i="65" a="1"/>
  <c r="G206" i="65" s="1"/>
  <c r="C206" i="65" a="1"/>
  <c r="C206" i="65" s="1"/>
  <c r="G205" i="65" a="1"/>
  <c r="G205" i="65" s="1"/>
  <c r="C205" i="65" a="1"/>
  <c r="C205" i="65" s="1"/>
  <c r="G204" i="65" a="1"/>
  <c r="G204" i="65" s="1"/>
  <c r="C204" i="65" a="1"/>
  <c r="C204" i="65" s="1"/>
  <c r="G203" i="65" a="1"/>
  <c r="G203" i="65" s="1"/>
  <c r="C203" i="65" a="1"/>
  <c r="C203" i="65" s="1"/>
  <c r="G202" i="65" a="1"/>
  <c r="G202" i="65" s="1"/>
  <c r="C202" i="65" a="1"/>
  <c r="C202" i="65" s="1"/>
  <c r="G201" i="65" a="1"/>
  <c r="G201" i="65" s="1"/>
  <c r="C201" i="65" a="1"/>
  <c r="C201" i="65" s="1"/>
  <c r="G198" i="65"/>
  <c r="G198" i="65" a="1"/>
  <c r="C198" i="65" a="1"/>
  <c r="C198" i="65" s="1"/>
  <c r="G197" i="65" a="1"/>
  <c r="G197" i="65" s="1"/>
  <c r="C197" i="65" a="1"/>
  <c r="C197" i="65" s="1"/>
  <c r="G196" i="65" a="1"/>
  <c r="G196" i="65" s="1"/>
  <c r="C196" i="65" a="1"/>
  <c r="C196" i="65" s="1"/>
  <c r="G195" i="65" a="1"/>
  <c r="G195" i="65" s="1"/>
  <c r="C195" i="65" a="1"/>
  <c r="C195" i="65" s="1"/>
  <c r="G194" i="65" a="1"/>
  <c r="G194" i="65" s="1"/>
  <c r="C194" i="65" a="1"/>
  <c r="C194" i="65" s="1"/>
  <c r="G193" i="65" a="1"/>
  <c r="G193" i="65" s="1"/>
  <c r="C193" i="65" a="1"/>
  <c r="C193" i="65" s="1"/>
  <c r="G192" i="65" a="1"/>
  <c r="G192" i="65" s="1"/>
  <c r="C192" i="65" a="1"/>
  <c r="C192" i="65" s="1"/>
  <c r="G191" i="65" a="1"/>
  <c r="G191" i="65" s="1"/>
  <c r="C191" i="65" a="1"/>
  <c r="C191" i="65" s="1"/>
  <c r="G190" i="65" a="1"/>
  <c r="G190" i="65" s="1"/>
  <c r="C190" i="65" a="1"/>
  <c r="C190" i="65" s="1"/>
  <c r="G187" i="65" a="1"/>
  <c r="G187" i="65" s="1"/>
  <c r="C187" i="65" a="1"/>
  <c r="C187" i="65" s="1"/>
  <c r="G186" i="65" a="1"/>
  <c r="G186" i="65" s="1"/>
  <c r="C186" i="65" a="1"/>
  <c r="C186" i="65" s="1"/>
  <c r="G185" i="65" a="1"/>
  <c r="G185" i="65" s="1"/>
  <c r="C185" i="65" a="1"/>
  <c r="C185" i="65" s="1"/>
  <c r="G184" i="65" a="1"/>
  <c r="G184" i="65" s="1"/>
  <c r="C184" i="65" a="1"/>
  <c r="C184" i="65" s="1"/>
  <c r="G183" i="65" a="1"/>
  <c r="G183" i="65" s="1"/>
  <c r="C183" i="65" a="1"/>
  <c r="C183" i="65" s="1"/>
  <c r="G182" i="65" a="1"/>
  <c r="G182" i="65" s="1"/>
  <c r="C182" i="65" a="1"/>
  <c r="C182" i="65" s="1"/>
  <c r="G181" i="65" a="1"/>
  <c r="G181" i="65" s="1"/>
  <c r="C181" i="65" a="1"/>
  <c r="C181" i="65" s="1"/>
  <c r="G180" i="65" a="1"/>
  <c r="G180" i="65" s="1"/>
  <c r="C180" i="65" a="1"/>
  <c r="C180" i="65" s="1"/>
  <c r="G179" i="65" a="1"/>
  <c r="G179" i="65" s="1"/>
  <c r="C179" i="65" a="1"/>
  <c r="C179" i="65" s="1"/>
  <c r="G176" i="65" a="1"/>
  <c r="G176" i="65" s="1"/>
  <c r="C176" i="65" a="1"/>
  <c r="C176" i="65" s="1"/>
  <c r="G175" i="65" a="1"/>
  <c r="G175" i="65" s="1"/>
  <c r="C175" i="65" a="1"/>
  <c r="C175" i="65" s="1"/>
  <c r="G174" i="65" a="1"/>
  <c r="G174" i="65" s="1"/>
  <c r="C174" i="65" a="1"/>
  <c r="C174" i="65" s="1"/>
  <c r="G173" i="65" a="1"/>
  <c r="G173" i="65" s="1"/>
  <c r="C173" i="65" a="1"/>
  <c r="C173" i="65" s="1"/>
  <c r="G172" i="65" a="1"/>
  <c r="G172" i="65" s="1"/>
  <c r="C172" i="65" a="1"/>
  <c r="C172" i="65" s="1"/>
  <c r="G171" i="65" a="1"/>
  <c r="G171" i="65" s="1"/>
  <c r="C171" i="65" a="1"/>
  <c r="C171" i="65" s="1"/>
  <c r="G170" i="65" a="1"/>
  <c r="G170" i="65" s="1"/>
  <c r="C170" i="65" a="1"/>
  <c r="C170" i="65" s="1"/>
  <c r="G169" i="65" a="1"/>
  <c r="G169" i="65" s="1"/>
  <c r="C169" i="65" a="1"/>
  <c r="C169" i="65" s="1"/>
  <c r="G168" i="65" a="1"/>
  <c r="G168" i="65" s="1"/>
  <c r="C168" i="65" a="1"/>
  <c r="C168" i="65" s="1"/>
  <c r="G165" i="65" a="1"/>
  <c r="G165" i="65" s="1"/>
  <c r="C165" i="65" a="1"/>
  <c r="C165" i="65" s="1"/>
  <c r="G164" i="65" a="1"/>
  <c r="G164" i="65" s="1"/>
  <c r="C164" i="65" a="1"/>
  <c r="C164" i="65" s="1"/>
  <c r="G163" i="65" a="1"/>
  <c r="G163" i="65" s="1"/>
  <c r="C163" i="65" a="1"/>
  <c r="C163" i="65" s="1"/>
  <c r="G162" i="65" a="1"/>
  <c r="G162" i="65" s="1"/>
  <c r="C162" i="65" a="1"/>
  <c r="C162" i="65" s="1"/>
  <c r="G161" i="65" a="1"/>
  <c r="G161" i="65" s="1"/>
  <c r="C161" i="65" a="1"/>
  <c r="C161" i="65" s="1"/>
  <c r="G160" i="65" a="1"/>
  <c r="G160" i="65" s="1"/>
  <c r="C160" i="65" a="1"/>
  <c r="C160" i="65" s="1"/>
  <c r="G159" i="65" a="1"/>
  <c r="G159" i="65" s="1"/>
  <c r="C159" i="65" a="1"/>
  <c r="C159" i="65" s="1"/>
  <c r="G158" i="65" a="1"/>
  <c r="G158" i="65" s="1"/>
  <c r="C158" i="65" a="1"/>
  <c r="C158" i="65" s="1"/>
  <c r="G157" i="65" a="1"/>
  <c r="G157" i="65" s="1"/>
  <c r="C157" i="65" a="1"/>
  <c r="C157" i="65" s="1"/>
  <c r="G154" i="65" a="1"/>
  <c r="G154" i="65" s="1"/>
  <c r="C154" i="65" a="1"/>
  <c r="C154" i="65" s="1"/>
  <c r="G153" i="65" a="1"/>
  <c r="G153" i="65" s="1"/>
  <c r="C153" i="65" a="1"/>
  <c r="C153" i="65" s="1"/>
  <c r="G152" i="65" a="1"/>
  <c r="G152" i="65" s="1"/>
  <c r="C152" i="65" a="1"/>
  <c r="C152" i="65" s="1"/>
  <c r="G151" i="65" a="1"/>
  <c r="G151" i="65" s="1"/>
  <c r="C151" i="65" a="1"/>
  <c r="C151" i="65" s="1"/>
  <c r="G150" i="65" a="1"/>
  <c r="G150" i="65" s="1"/>
  <c r="C150" i="65" a="1"/>
  <c r="C150" i="65" s="1"/>
  <c r="G149" i="65" a="1"/>
  <c r="G149" i="65" s="1"/>
  <c r="C149" i="65" a="1"/>
  <c r="C149" i="65" s="1"/>
  <c r="G148" i="65" a="1"/>
  <c r="G148" i="65" s="1"/>
  <c r="C148" i="65" a="1"/>
  <c r="C148" i="65" s="1"/>
  <c r="G147" i="65"/>
  <c r="G147" i="65" a="1"/>
  <c r="C147" i="65" a="1"/>
  <c r="C147" i="65" s="1"/>
  <c r="G146" i="65" a="1"/>
  <c r="G146" i="65" s="1"/>
  <c r="C146" i="65" a="1"/>
  <c r="C146" i="65" s="1"/>
  <c r="G143" i="65" a="1"/>
  <c r="G143" i="65" s="1"/>
  <c r="C143" i="65" a="1"/>
  <c r="C143" i="65" s="1"/>
  <c r="G142" i="65" a="1"/>
  <c r="G142" i="65" s="1"/>
  <c r="C142" i="65" a="1"/>
  <c r="C142" i="65" s="1"/>
  <c r="G141" i="65" a="1"/>
  <c r="G141" i="65" s="1"/>
  <c r="C141" i="65" a="1"/>
  <c r="C141" i="65" s="1"/>
  <c r="G140" i="65" a="1"/>
  <c r="G140" i="65" s="1"/>
  <c r="C140" i="65" a="1"/>
  <c r="C140" i="65" s="1"/>
  <c r="G139" i="65" a="1"/>
  <c r="G139" i="65" s="1"/>
  <c r="C139" i="65" a="1"/>
  <c r="C139" i="65" s="1"/>
  <c r="G138" i="65" a="1"/>
  <c r="G138" i="65" s="1"/>
  <c r="C138" i="65" a="1"/>
  <c r="C138" i="65" s="1"/>
  <c r="G137" i="65" a="1"/>
  <c r="G137" i="65" s="1"/>
  <c r="C137" i="65" a="1"/>
  <c r="C137" i="65" s="1"/>
  <c r="G136" i="65" a="1"/>
  <c r="G136" i="65" s="1"/>
  <c r="C136" i="65" a="1"/>
  <c r="C136" i="65" s="1"/>
  <c r="G135" i="65" a="1"/>
  <c r="G135" i="65" s="1"/>
  <c r="C135" i="65" a="1"/>
  <c r="C135" i="65" s="1"/>
  <c r="C133" i="65" a="1"/>
  <c r="C133" i="65" s="1"/>
  <c r="G132" i="65" a="1"/>
  <c r="G132" i="65" s="1"/>
  <c r="C132" i="65" a="1"/>
  <c r="C132" i="65" s="1"/>
  <c r="G131" i="65" a="1"/>
  <c r="G131" i="65" s="1"/>
  <c r="C131" i="65" a="1"/>
  <c r="C131" i="65" s="1"/>
  <c r="G130" i="65" a="1"/>
  <c r="G130" i="65" s="1"/>
  <c r="C130" i="65" a="1"/>
  <c r="C130" i="65" s="1"/>
  <c r="G129" i="65" a="1"/>
  <c r="G129" i="65" s="1"/>
  <c r="C129" i="65" a="1"/>
  <c r="C129" i="65" s="1"/>
  <c r="G128" i="65" a="1"/>
  <c r="G128" i="65" s="1"/>
  <c r="C128" i="65" a="1"/>
  <c r="C128" i="65" s="1"/>
  <c r="G127" i="65" a="1"/>
  <c r="G127" i="65" s="1"/>
  <c r="C127" i="65" a="1"/>
  <c r="C127" i="65" s="1"/>
  <c r="G126" i="65" a="1"/>
  <c r="G126" i="65" s="1"/>
  <c r="C126" i="65"/>
  <c r="C126" i="65" a="1"/>
  <c r="G125" i="65" a="1"/>
  <c r="G125" i="65" s="1"/>
  <c r="C125" i="65" a="1"/>
  <c r="C125" i="65" s="1"/>
  <c r="G124" i="65" a="1"/>
  <c r="G124" i="65" s="1"/>
  <c r="C124" i="65" a="1"/>
  <c r="C124" i="65" s="1"/>
  <c r="G128" i="53" a="1"/>
  <c r="G128" i="53" s="1"/>
  <c r="G190" i="63" a="1"/>
  <c r="G190" i="63" s="1"/>
  <c r="G190" i="49" a="1"/>
  <c r="G190" i="49" s="1"/>
  <c r="G190" i="6" a="1"/>
  <c r="G190" i="6" s="1"/>
  <c r="G199" i="6" s="1"/>
  <c r="G190" i="7" a="1"/>
  <c r="G190" i="7" s="1"/>
  <c r="G190" i="50" a="1"/>
  <c r="G190" i="50" s="1"/>
  <c r="G190" i="17" a="1"/>
  <c r="G190" i="17" s="1"/>
  <c r="G190" i="18" a="1"/>
  <c r="G190" i="18"/>
  <c r="G190" i="19" a="1"/>
  <c r="G190" i="19" s="1"/>
  <c r="G190" i="22" a="1"/>
  <c r="G190" i="22" s="1"/>
  <c r="G190" i="58" a="1"/>
  <c r="G190" i="58" s="1"/>
  <c r="C242" i="6" a="1"/>
  <c r="C242" i="6" s="1"/>
  <c r="C241" i="6" a="1"/>
  <c r="C241" i="6" s="1"/>
  <c r="C240" i="6" a="1"/>
  <c r="C240" i="6" s="1"/>
  <c r="C239" i="6" a="1"/>
  <c r="C239" i="6" s="1"/>
  <c r="C238" i="6" a="1"/>
  <c r="C238" i="6" s="1"/>
  <c r="C237" i="6" a="1"/>
  <c r="C237" i="6" s="1"/>
  <c r="C236" i="6" a="1"/>
  <c r="C236" i="6" s="1"/>
  <c r="C235" i="6"/>
  <c r="C235" i="6" a="1"/>
  <c r="C234" i="6" a="1"/>
  <c r="C234" i="6" s="1"/>
  <c r="G231" i="6" a="1"/>
  <c r="G231" i="6" s="1"/>
  <c r="C231" i="6"/>
  <c r="C231" i="6" a="1"/>
  <c r="G230" i="6" a="1"/>
  <c r="G230" i="6" s="1"/>
  <c r="C230" i="6"/>
  <c r="C230" i="6" a="1"/>
  <c r="G229" i="6" a="1"/>
  <c r="G229" i="6" s="1"/>
  <c r="C229" i="6" a="1"/>
  <c r="C229" i="6" s="1"/>
  <c r="G228" i="6" a="1"/>
  <c r="G228" i="6" s="1"/>
  <c r="C228" i="6" a="1"/>
  <c r="C228" i="6" s="1"/>
  <c r="G227" i="6" a="1"/>
  <c r="G227" i="6" s="1"/>
  <c r="C227" i="6" a="1"/>
  <c r="C227" i="6" s="1"/>
  <c r="G226" i="6" a="1"/>
  <c r="G226" i="6" s="1"/>
  <c r="C226" i="6" a="1"/>
  <c r="C226" i="6" s="1"/>
  <c r="G225" i="6" a="1"/>
  <c r="G225" i="6" s="1"/>
  <c r="C225" i="6" a="1"/>
  <c r="C225" i="6" s="1"/>
  <c r="G224" i="6" a="1"/>
  <c r="G224" i="6" s="1"/>
  <c r="C224" i="6" a="1"/>
  <c r="C224" i="6" s="1"/>
  <c r="G223" i="6" a="1"/>
  <c r="G223" i="6" s="1"/>
  <c r="C223" i="6" a="1"/>
  <c r="C223" i="6" s="1"/>
  <c r="G220" i="6" a="1"/>
  <c r="G220" i="6" s="1"/>
  <c r="C220" i="6" a="1"/>
  <c r="C220" i="6" s="1"/>
  <c r="G219" i="6" a="1"/>
  <c r="G219" i="6" s="1"/>
  <c r="C219" i="6" a="1"/>
  <c r="C219" i="6" s="1"/>
  <c r="G218" i="6" a="1"/>
  <c r="G218" i="6" s="1"/>
  <c r="C218" i="6" a="1"/>
  <c r="C218" i="6" s="1"/>
  <c r="G217" i="6" a="1"/>
  <c r="G217" i="6" s="1"/>
  <c r="C217" i="6" a="1"/>
  <c r="C217" i="6" s="1"/>
  <c r="G216" i="6" a="1"/>
  <c r="G216" i="6" s="1"/>
  <c r="C216" i="6"/>
  <c r="C216" i="6" a="1"/>
  <c r="G215" i="6" a="1"/>
  <c r="G215" i="6" s="1"/>
  <c r="C215" i="6" a="1"/>
  <c r="C215" i="6" s="1"/>
  <c r="G214" i="6" a="1"/>
  <c r="G214" i="6" s="1"/>
  <c r="C214" i="6" a="1"/>
  <c r="C214" i="6" s="1"/>
  <c r="G213" i="6" a="1"/>
  <c r="G213" i="6" s="1"/>
  <c r="C213" i="6" a="1"/>
  <c r="C213" i="6" s="1"/>
  <c r="G212" i="6" a="1"/>
  <c r="G212" i="6" s="1"/>
  <c r="G221" i="6" s="1"/>
  <c r="C212" i="6"/>
  <c r="C212" i="6" a="1"/>
  <c r="G209" i="6" a="1"/>
  <c r="G209" i="6" s="1"/>
  <c r="C209" i="6" a="1"/>
  <c r="C209" i="6" s="1"/>
  <c r="G208" i="6" a="1"/>
  <c r="G208" i="6" s="1"/>
  <c r="C208" i="6" a="1"/>
  <c r="C208" i="6" s="1"/>
  <c r="G207" i="6" a="1"/>
  <c r="G207" i="6" s="1"/>
  <c r="C207" i="6" a="1"/>
  <c r="C207" i="6" s="1"/>
  <c r="G206" i="6"/>
  <c r="G206" i="6" a="1"/>
  <c r="C206" i="6" a="1"/>
  <c r="C206" i="6" s="1"/>
  <c r="G205" i="6" a="1"/>
  <c r="G205" i="6" s="1"/>
  <c r="C205" i="6" a="1"/>
  <c r="C205" i="6" s="1"/>
  <c r="G204" i="6" a="1"/>
  <c r="G204" i="6" s="1"/>
  <c r="C204" i="6" a="1"/>
  <c r="C204" i="6" s="1"/>
  <c r="G203" i="6" a="1"/>
  <c r="G203" i="6" s="1"/>
  <c r="C203" i="6" a="1"/>
  <c r="C203" i="6" s="1"/>
  <c r="G202" i="6" a="1"/>
  <c r="G202" i="6" s="1"/>
  <c r="C202" i="6" a="1"/>
  <c r="C202" i="6" s="1"/>
  <c r="G201" i="6" a="1"/>
  <c r="G201" i="6" s="1"/>
  <c r="C201" i="6" a="1"/>
  <c r="C201" i="6" s="1"/>
  <c r="G198" i="6" a="1"/>
  <c r="G198" i="6" s="1"/>
  <c r="C198" i="6" a="1"/>
  <c r="C198" i="6" s="1"/>
  <c r="G197" i="6" a="1"/>
  <c r="G197" i="6" s="1"/>
  <c r="C197" i="6" a="1"/>
  <c r="C197" i="6" s="1"/>
  <c r="G196" i="6" a="1"/>
  <c r="G196" i="6" s="1"/>
  <c r="C196" i="6" a="1"/>
  <c r="C196" i="6" s="1"/>
  <c r="G195" i="6" a="1"/>
  <c r="G195" i="6" s="1"/>
  <c r="C195" i="6" a="1"/>
  <c r="C195" i="6" s="1"/>
  <c r="G194" i="6" a="1"/>
  <c r="G194" i="6" s="1"/>
  <c r="C194" i="6" a="1"/>
  <c r="C194" i="6" s="1"/>
  <c r="G193" i="6" a="1"/>
  <c r="G193" i="6" s="1"/>
  <c r="C193" i="6" a="1"/>
  <c r="C193" i="6" s="1"/>
  <c r="G192" i="6" a="1"/>
  <c r="G192" i="6" s="1"/>
  <c r="C192" i="6" a="1"/>
  <c r="C192" i="6" s="1"/>
  <c r="G191" i="6" a="1"/>
  <c r="G191" i="6" s="1"/>
  <c r="C191" i="6" a="1"/>
  <c r="C191" i="6" s="1"/>
  <c r="C190" i="6" a="1"/>
  <c r="C190" i="6" s="1"/>
  <c r="G187" i="6" a="1"/>
  <c r="G187" i="6" s="1"/>
  <c r="C187" i="6" a="1"/>
  <c r="C187" i="6" s="1"/>
  <c r="G186" i="6" a="1"/>
  <c r="G186" i="6" s="1"/>
  <c r="C186" i="6" a="1"/>
  <c r="C186" i="6" s="1"/>
  <c r="G185" i="6" a="1"/>
  <c r="G185" i="6" s="1"/>
  <c r="C185" i="6" a="1"/>
  <c r="C185" i="6" s="1"/>
  <c r="G184" i="6" a="1"/>
  <c r="G184" i="6" s="1"/>
  <c r="C184" i="6" a="1"/>
  <c r="C184" i="6" s="1"/>
  <c r="G183" i="6"/>
  <c r="G183" i="6" a="1"/>
  <c r="C183" i="6" a="1"/>
  <c r="C183" i="6" s="1"/>
  <c r="G182" i="6" a="1"/>
  <c r="G182" i="6" s="1"/>
  <c r="C182" i="6" a="1"/>
  <c r="C182" i="6" s="1"/>
  <c r="G181" i="6" a="1"/>
  <c r="G181" i="6" s="1"/>
  <c r="C181" i="6" a="1"/>
  <c r="C181" i="6" s="1"/>
  <c r="G180" i="6" a="1"/>
  <c r="G180" i="6" s="1"/>
  <c r="C180" i="6" a="1"/>
  <c r="C180" i="6" s="1"/>
  <c r="G179" i="6"/>
  <c r="G179" i="6" a="1"/>
  <c r="C179" i="6" a="1"/>
  <c r="C179" i="6" s="1"/>
  <c r="G176" i="6" a="1"/>
  <c r="G176" i="6" s="1"/>
  <c r="C176" i="6" a="1"/>
  <c r="C176" i="6" s="1"/>
  <c r="G175" i="6" a="1"/>
  <c r="G175" i="6" s="1"/>
  <c r="C175" i="6" a="1"/>
  <c r="C175" i="6" s="1"/>
  <c r="G174" i="6" a="1"/>
  <c r="G174" i="6" s="1"/>
  <c r="C174" i="6"/>
  <c r="C174" i="6" a="1"/>
  <c r="G173" i="6" a="1"/>
  <c r="G173" i="6" s="1"/>
  <c r="C173" i="6" a="1"/>
  <c r="C173" i="6" s="1"/>
  <c r="G172" i="6" a="1"/>
  <c r="G172" i="6" s="1"/>
  <c r="C172" i="6" a="1"/>
  <c r="C172" i="6" s="1"/>
  <c r="G171" i="6" a="1"/>
  <c r="G171" i="6" s="1"/>
  <c r="C171" i="6" a="1"/>
  <c r="C171" i="6" s="1"/>
  <c r="G170" i="6" a="1"/>
  <c r="G170" i="6" s="1"/>
  <c r="C170" i="6" a="1"/>
  <c r="C170" i="6" s="1"/>
  <c r="G169" i="6" a="1"/>
  <c r="G169" i="6" s="1"/>
  <c r="G177" i="6" s="1"/>
  <c r="C169" i="6" a="1"/>
  <c r="C169" i="6" s="1"/>
  <c r="G168" i="6" a="1"/>
  <c r="G168" i="6" s="1"/>
  <c r="C168" i="6" a="1"/>
  <c r="C168" i="6" s="1"/>
  <c r="G165" i="6" a="1"/>
  <c r="G165" i="6" s="1"/>
  <c r="C165" i="6" a="1"/>
  <c r="C165" i="6" s="1"/>
  <c r="G164" i="6" a="1"/>
  <c r="G164" i="6" s="1"/>
  <c r="C164" i="6" a="1"/>
  <c r="C164" i="6" s="1"/>
  <c r="G163" i="6" a="1"/>
  <c r="G163" i="6" s="1"/>
  <c r="C163" i="6" a="1"/>
  <c r="C163" i="6" s="1"/>
  <c r="G162" i="6" a="1"/>
  <c r="G162" i="6" s="1"/>
  <c r="C162" i="6" a="1"/>
  <c r="C162" i="6" s="1"/>
  <c r="G161" i="6" a="1"/>
  <c r="G161" i="6" s="1"/>
  <c r="C161" i="6" a="1"/>
  <c r="C161" i="6" s="1"/>
  <c r="G160" i="6" a="1"/>
  <c r="G160" i="6" s="1"/>
  <c r="C160" i="6" a="1"/>
  <c r="C160" i="6" s="1"/>
  <c r="G159" i="6" a="1"/>
  <c r="G159" i="6" s="1"/>
  <c r="C159" i="6" a="1"/>
  <c r="C159" i="6" s="1"/>
  <c r="G158" i="6" a="1"/>
  <c r="G158" i="6" s="1"/>
  <c r="C158" i="6" a="1"/>
  <c r="C158" i="6" s="1"/>
  <c r="G157" i="6" a="1"/>
  <c r="G157" i="6" s="1"/>
  <c r="C157" i="6" a="1"/>
  <c r="C157" i="6" s="1"/>
  <c r="G154" i="6" a="1"/>
  <c r="G154" i="6" s="1"/>
  <c r="C154" i="6" a="1"/>
  <c r="C154" i="6" s="1"/>
  <c r="G153" i="6" a="1"/>
  <c r="G153" i="6" s="1"/>
  <c r="C153" i="6" a="1"/>
  <c r="C153" i="6" s="1"/>
  <c r="G152" i="6" a="1"/>
  <c r="G152" i="6" s="1"/>
  <c r="C152" i="6" a="1"/>
  <c r="C152" i="6" s="1"/>
  <c r="G151" i="6" a="1"/>
  <c r="G151" i="6" s="1"/>
  <c r="C151" i="6" a="1"/>
  <c r="C151" i="6" s="1"/>
  <c r="G150" i="6" a="1"/>
  <c r="G150" i="6" s="1"/>
  <c r="C150" i="6" a="1"/>
  <c r="C150" i="6" s="1"/>
  <c r="G149" i="6" a="1"/>
  <c r="G149" i="6" s="1"/>
  <c r="C149" i="6" a="1"/>
  <c r="C149" i="6" s="1"/>
  <c r="G148" i="6" a="1"/>
  <c r="G148" i="6" s="1"/>
  <c r="C148" i="6" a="1"/>
  <c r="C148" i="6" s="1"/>
  <c r="G147" i="6" a="1"/>
  <c r="G147" i="6" s="1"/>
  <c r="C147" i="6"/>
  <c r="C147" i="6" a="1"/>
  <c r="G146" i="6" a="1"/>
  <c r="G146" i="6" s="1"/>
  <c r="C146" i="6" a="1"/>
  <c r="C146" i="6" s="1"/>
  <c r="G143" i="6" a="1"/>
  <c r="G143" i="6" s="1"/>
  <c r="C143" i="6" a="1"/>
  <c r="C143" i="6" s="1"/>
  <c r="G142" i="6" a="1"/>
  <c r="G142" i="6" s="1"/>
  <c r="C142" i="6" a="1"/>
  <c r="C142" i="6" s="1"/>
  <c r="G141" i="6"/>
  <c r="G141" i="6" a="1"/>
  <c r="C141" i="6" a="1"/>
  <c r="C141" i="6" s="1"/>
  <c r="G140" i="6" a="1"/>
  <c r="G140" i="6" s="1"/>
  <c r="C140" i="6" a="1"/>
  <c r="C140" i="6" s="1"/>
  <c r="G139" i="6" a="1"/>
  <c r="G139" i="6" s="1"/>
  <c r="C139" i="6" a="1"/>
  <c r="C139" i="6" s="1"/>
  <c r="G138" i="6" a="1"/>
  <c r="G138" i="6" s="1"/>
  <c r="C138" i="6" a="1"/>
  <c r="C138" i="6" s="1"/>
  <c r="G137" i="6"/>
  <c r="G137" i="6" a="1"/>
  <c r="C137" i="6" a="1"/>
  <c r="C137" i="6" s="1"/>
  <c r="G136" i="6" a="1"/>
  <c r="G136" i="6" s="1"/>
  <c r="C136" i="6" a="1"/>
  <c r="C136" i="6" s="1"/>
  <c r="G135" i="6" a="1"/>
  <c r="G135" i="6" s="1"/>
  <c r="C135" i="6" a="1"/>
  <c r="C135" i="6" s="1"/>
  <c r="C133" i="6" a="1"/>
  <c r="C133" i="6" s="1"/>
  <c r="G132" i="6"/>
  <c r="G132" i="6" a="1"/>
  <c r="C132" i="6" a="1"/>
  <c r="C132" i="6" s="1"/>
  <c r="G131" i="6"/>
  <c r="G131" i="6" a="1"/>
  <c r="C131" i="6" a="1"/>
  <c r="C131" i="6" s="1"/>
  <c r="G130" i="6" a="1"/>
  <c r="G130" i="6" s="1"/>
  <c r="C130" i="6" a="1"/>
  <c r="C130" i="6" s="1"/>
  <c r="G129" i="6"/>
  <c r="G129" i="6" a="1"/>
  <c r="C129" i="6" a="1"/>
  <c r="C129" i="6" s="1"/>
  <c r="G128" i="6"/>
  <c r="G128" i="6" a="1"/>
  <c r="C128" i="6" a="1"/>
  <c r="C128" i="6" s="1"/>
  <c r="G127" i="6"/>
  <c r="G127" i="6" a="1"/>
  <c r="C127" i="6" a="1"/>
  <c r="C127" i="6" s="1"/>
  <c r="G126" i="6" a="1"/>
  <c r="G126" i="6" s="1"/>
  <c r="C126" i="6" a="1"/>
  <c r="C126" i="6" s="1"/>
  <c r="G125" i="6"/>
  <c r="G125" i="6" a="1"/>
  <c r="C125" i="6" a="1"/>
  <c r="C125" i="6" s="1"/>
  <c r="G124" i="6"/>
  <c r="G124" i="6" a="1"/>
  <c r="C124" i="6" a="1"/>
  <c r="C124" i="6" s="1"/>
  <c r="C212" i="18" a="1"/>
  <c r="C212" i="18" s="1"/>
  <c r="G169" i="53" a="1"/>
  <c r="G169" i="53" s="1"/>
  <c r="G231" i="63" a="1"/>
  <c r="G231" i="63" s="1"/>
  <c r="G231" i="49" a="1"/>
  <c r="G231" i="49" s="1"/>
  <c r="G231" i="7" a="1"/>
  <c r="G231" i="7" s="1"/>
  <c r="G231" i="50" a="1"/>
  <c r="G231" i="50"/>
  <c r="G231" i="17" a="1"/>
  <c r="G231" i="17" s="1"/>
  <c r="G231" i="18" a="1"/>
  <c r="G231" i="18" s="1"/>
  <c r="G231" i="19" a="1"/>
  <c r="G231" i="19" s="1"/>
  <c r="G231" i="22" a="1"/>
  <c r="G231" i="22"/>
  <c r="G231" i="58" a="1"/>
  <c r="G231" i="58" s="1"/>
  <c r="G168" i="53" a="1"/>
  <c r="G168" i="53" s="1"/>
  <c r="G230" i="63" a="1"/>
  <c r="G230" i="63" s="1"/>
  <c r="G230" i="49" a="1"/>
  <c r="G230" i="49" s="1"/>
  <c r="G230" i="7" a="1"/>
  <c r="G230" i="7" s="1"/>
  <c r="G230" i="50" a="1"/>
  <c r="G230" i="50" s="1"/>
  <c r="G230" i="17" a="1"/>
  <c r="G230" i="17" s="1"/>
  <c r="G230" i="18" a="1"/>
  <c r="G230" i="18" s="1"/>
  <c r="G230" i="19" a="1"/>
  <c r="G230" i="19" s="1"/>
  <c r="G230" i="22" a="1"/>
  <c r="G230" i="22" s="1"/>
  <c r="G230" i="58" a="1"/>
  <c r="G230" i="58" s="1"/>
  <c r="G167" i="53" a="1"/>
  <c r="G167" i="53" s="1"/>
  <c r="G229" i="63" a="1"/>
  <c r="G229" i="63" s="1"/>
  <c r="G229" i="49" a="1"/>
  <c r="G229" i="49" s="1"/>
  <c r="G229" i="7" a="1"/>
  <c r="G229" i="7" s="1"/>
  <c r="G229" i="50" a="1"/>
  <c r="G229" i="50" s="1"/>
  <c r="G229" i="17" a="1"/>
  <c r="G229" i="17" s="1"/>
  <c r="G229" i="18" a="1"/>
  <c r="G229" i="18" s="1"/>
  <c r="G229" i="19" a="1"/>
  <c r="G229" i="19" s="1"/>
  <c r="G229" i="22" a="1"/>
  <c r="G229" i="22" s="1"/>
  <c r="G229" i="58" a="1"/>
  <c r="G229" i="58" s="1"/>
  <c r="G166" i="53" a="1"/>
  <c r="G166" i="53" s="1"/>
  <c r="G228" i="63" a="1"/>
  <c r="G228" i="63" s="1"/>
  <c r="G228" i="49" a="1"/>
  <c r="G228" i="49" s="1"/>
  <c r="G228" i="7" a="1"/>
  <c r="G228" i="7" s="1"/>
  <c r="G228" i="50" a="1"/>
  <c r="G228" i="50" s="1"/>
  <c r="G228" i="17" a="1"/>
  <c r="G228" i="17" s="1"/>
  <c r="G228" i="18" a="1"/>
  <c r="G228" i="18" s="1"/>
  <c r="G228" i="19" a="1"/>
  <c r="G228" i="19" s="1"/>
  <c r="G228" i="22" a="1"/>
  <c r="G228" i="22" s="1"/>
  <c r="G228" i="58" a="1"/>
  <c r="G228" i="58" s="1"/>
  <c r="G165" i="53" a="1"/>
  <c r="G165" i="53" s="1"/>
  <c r="G227" i="63" a="1"/>
  <c r="G227" i="63" s="1"/>
  <c r="G227" i="49" a="1"/>
  <c r="G227" i="49" s="1"/>
  <c r="G227" i="7" a="1"/>
  <c r="G227" i="7" s="1"/>
  <c r="G227" i="50" a="1"/>
  <c r="G227" i="50" s="1"/>
  <c r="G227" i="17" a="1"/>
  <c r="G227" i="17" s="1"/>
  <c r="G227" i="18" a="1"/>
  <c r="G227" i="18" s="1"/>
  <c r="G227" i="19" a="1"/>
  <c r="G227" i="19" s="1"/>
  <c r="G227" i="22" a="1"/>
  <c r="G227" i="22" s="1"/>
  <c r="G227" i="58" a="1"/>
  <c r="G227" i="58" s="1"/>
  <c r="G164" i="53" a="1"/>
  <c r="G164" i="53" s="1"/>
  <c r="G226" i="63" a="1"/>
  <c r="G226" i="63" s="1"/>
  <c r="G226" i="49" a="1"/>
  <c r="G226" i="49" s="1"/>
  <c r="G226" i="7" a="1"/>
  <c r="G226" i="7" s="1"/>
  <c r="G226" i="50" a="1"/>
  <c r="G226" i="50" s="1"/>
  <c r="G226" i="17" a="1"/>
  <c r="G226" i="17" s="1"/>
  <c r="G226" i="18" a="1"/>
  <c r="G226" i="18" s="1"/>
  <c r="G226" i="19" a="1"/>
  <c r="G226" i="19" s="1"/>
  <c r="G226" i="22" a="1"/>
  <c r="G226" i="22" s="1"/>
  <c r="G226" i="58" a="1"/>
  <c r="G226" i="58"/>
  <c r="G163" i="53" a="1"/>
  <c r="G163" i="53" s="1"/>
  <c r="G225" i="63" a="1"/>
  <c r="G225" i="63" s="1"/>
  <c r="G225" i="49" a="1"/>
  <c r="G225" i="49" s="1"/>
  <c r="G225" i="7" a="1"/>
  <c r="G225" i="7" s="1"/>
  <c r="G225" i="50" a="1"/>
  <c r="G225" i="50" s="1"/>
  <c r="G225" i="17" a="1"/>
  <c r="G225" i="17" s="1"/>
  <c r="G225" i="18" a="1"/>
  <c r="G225" i="18" s="1"/>
  <c r="G225" i="19" a="1"/>
  <c r="G225" i="19" s="1"/>
  <c r="G225" i="22" a="1"/>
  <c r="G225" i="22" s="1"/>
  <c r="G225" i="58" a="1"/>
  <c r="G225" i="58" s="1"/>
  <c r="G162" i="53" a="1"/>
  <c r="G162" i="53" s="1"/>
  <c r="G224" i="63" a="1"/>
  <c r="G224" i="63" s="1"/>
  <c r="G224" i="49" a="1"/>
  <c r="G224" i="49" s="1"/>
  <c r="G224" i="7" a="1"/>
  <c r="G224" i="7" s="1"/>
  <c r="G224" i="50" a="1"/>
  <c r="G224" i="50" s="1"/>
  <c r="G224" i="17" a="1"/>
  <c r="G224" i="17" s="1"/>
  <c r="G224" i="18" a="1"/>
  <c r="G224" i="18" s="1"/>
  <c r="G224" i="19" a="1"/>
  <c r="G224" i="19" s="1"/>
  <c r="G224" i="22" a="1"/>
  <c r="G224" i="22" s="1"/>
  <c r="G224" i="58" a="1"/>
  <c r="G224" i="58" s="1"/>
  <c r="G158" i="53" a="1"/>
  <c r="G158" i="53" s="1"/>
  <c r="G220" i="63" a="1"/>
  <c r="G220" i="63" s="1"/>
  <c r="G220" i="49" a="1"/>
  <c r="G220" i="49" s="1"/>
  <c r="G220" i="7" a="1"/>
  <c r="G220" i="7" s="1"/>
  <c r="G220" i="50" a="1"/>
  <c r="G220" i="50" s="1"/>
  <c r="G220" i="17" a="1"/>
  <c r="G220" i="17" s="1"/>
  <c r="G220" i="18" a="1"/>
  <c r="G220" i="18" s="1"/>
  <c r="G220" i="19" a="1"/>
  <c r="G220" i="19" s="1"/>
  <c r="G220" i="22" a="1"/>
  <c r="G220" i="22" s="1"/>
  <c r="G220" i="58" a="1"/>
  <c r="G220" i="58" s="1"/>
  <c r="G157" i="53" a="1"/>
  <c r="G157" i="53" s="1"/>
  <c r="G219" i="63" a="1"/>
  <c r="G219" i="63" s="1"/>
  <c r="G219" i="49" a="1"/>
  <c r="G219" i="49" s="1"/>
  <c r="G219" i="7" a="1"/>
  <c r="G219" i="7" s="1"/>
  <c r="G219" i="50" a="1"/>
  <c r="G219" i="50" s="1"/>
  <c r="G219" i="17" a="1"/>
  <c r="G219" i="17" s="1"/>
  <c r="G219" i="18" a="1"/>
  <c r="G219" i="18" s="1"/>
  <c r="G219" i="19" a="1"/>
  <c r="G219" i="19" s="1"/>
  <c r="G219" i="22" a="1"/>
  <c r="G219" i="22" s="1"/>
  <c r="G219" i="58" a="1"/>
  <c r="G219" i="58" s="1"/>
  <c r="G156" i="53" a="1"/>
  <c r="G156" i="53" s="1"/>
  <c r="G218" i="63" a="1"/>
  <c r="G218" i="63" s="1"/>
  <c r="G218" i="49" a="1"/>
  <c r="G218" i="49" s="1"/>
  <c r="G218" i="7" a="1"/>
  <c r="G218" i="7" s="1"/>
  <c r="G218" i="50" a="1"/>
  <c r="G218" i="50"/>
  <c r="G218" i="17" a="1"/>
  <c r="G218" i="17" s="1"/>
  <c r="G218" i="18" a="1"/>
  <c r="G218" i="18" s="1"/>
  <c r="G218" i="19" a="1"/>
  <c r="G218" i="19" s="1"/>
  <c r="G218" i="22" a="1"/>
  <c r="G218" i="22" s="1"/>
  <c r="G218" i="58" a="1"/>
  <c r="G218" i="58" s="1"/>
  <c r="G155" i="53" a="1"/>
  <c r="G155" i="53" s="1"/>
  <c r="G217" i="63" a="1"/>
  <c r="G217" i="63" s="1"/>
  <c r="G217" i="49" a="1"/>
  <c r="G217" i="49" s="1"/>
  <c r="G217" i="7" a="1"/>
  <c r="G217" i="7" s="1"/>
  <c r="G217" i="50" a="1"/>
  <c r="G217" i="50" s="1"/>
  <c r="G217" i="17" a="1"/>
  <c r="G217" i="17" s="1"/>
  <c r="G217" i="18" a="1"/>
  <c r="G217" i="18" s="1"/>
  <c r="G217" i="19" a="1"/>
  <c r="G217" i="19" s="1"/>
  <c r="G217" i="22" a="1"/>
  <c r="G217" i="22" s="1"/>
  <c r="G217" i="58" a="1"/>
  <c r="G217" i="58" s="1"/>
  <c r="G154" i="53" a="1"/>
  <c r="G154" i="53" s="1"/>
  <c r="G216" i="63" a="1"/>
  <c r="G216" i="63" s="1"/>
  <c r="G216" i="49" a="1"/>
  <c r="G216" i="49" s="1"/>
  <c r="G216" i="7" a="1"/>
  <c r="G216" i="7" s="1"/>
  <c r="G216" i="50" a="1"/>
  <c r="G216" i="50" s="1"/>
  <c r="G216" i="17" a="1"/>
  <c r="G216" i="17" s="1"/>
  <c r="G216" i="18" a="1"/>
  <c r="G216" i="18" s="1"/>
  <c r="G216" i="19" a="1"/>
  <c r="G216" i="19" s="1"/>
  <c r="G216" i="22" a="1"/>
  <c r="G216" i="22" s="1"/>
  <c r="G216" i="58" a="1"/>
  <c r="G216" i="58" s="1"/>
  <c r="G153" i="53" a="1"/>
  <c r="G153" i="53" s="1"/>
  <c r="G215" i="63" a="1"/>
  <c r="G215" i="63" s="1"/>
  <c r="G215" i="49" a="1"/>
  <c r="G215" i="49" s="1"/>
  <c r="G215" i="7" a="1"/>
  <c r="G215" i="7" s="1"/>
  <c r="G215" i="50" a="1"/>
  <c r="G215" i="50" s="1"/>
  <c r="G215" i="17" a="1"/>
  <c r="G215" i="17" s="1"/>
  <c r="G215" i="18" a="1"/>
  <c r="G215" i="18" s="1"/>
  <c r="G215" i="19" a="1"/>
  <c r="G215" i="19" s="1"/>
  <c r="G215" i="22" a="1"/>
  <c r="G215" i="22" s="1"/>
  <c r="G215" i="58" a="1"/>
  <c r="G215" i="58" s="1"/>
  <c r="G152" i="53" a="1"/>
  <c r="G152" i="53" s="1"/>
  <c r="G214" i="63" a="1"/>
  <c r="G214" i="63" s="1"/>
  <c r="G214" i="49" a="1"/>
  <c r="G214" i="49" s="1"/>
  <c r="G214" i="7" a="1"/>
  <c r="G214" i="7" s="1"/>
  <c r="G214" i="50" a="1"/>
  <c r="G214" i="50" s="1"/>
  <c r="G214" i="17" a="1"/>
  <c r="G214" i="17" s="1"/>
  <c r="G214" i="18" a="1"/>
  <c r="G214" i="18" s="1"/>
  <c r="G214" i="19" a="1"/>
  <c r="G214" i="19" s="1"/>
  <c r="G214" i="22" a="1"/>
  <c r="G214" i="22" s="1"/>
  <c r="G214" i="58" a="1"/>
  <c r="G214" i="58"/>
  <c r="G151" i="53" a="1"/>
  <c r="G151" i="53" s="1"/>
  <c r="G213" i="63" a="1"/>
  <c r="G213" i="63" s="1"/>
  <c r="G213" i="49" a="1"/>
  <c r="G213" i="49" s="1"/>
  <c r="G213" i="7" a="1"/>
  <c r="G213" i="7" s="1"/>
  <c r="G213" i="50" a="1"/>
  <c r="G213" i="50" s="1"/>
  <c r="G213" i="17" a="1"/>
  <c r="G213" i="17" s="1"/>
  <c r="G213" i="18" a="1"/>
  <c r="G213" i="18" s="1"/>
  <c r="G213" i="19" a="1"/>
  <c r="G213" i="19" s="1"/>
  <c r="G213" i="22" a="1"/>
  <c r="G213" i="22" s="1"/>
  <c r="G213" i="58" a="1"/>
  <c r="G213" i="58" s="1"/>
  <c r="G147" i="53" a="1"/>
  <c r="G147" i="53" s="1"/>
  <c r="G209" i="63" a="1"/>
  <c r="G209" i="63" s="1"/>
  <c r="G209" i="49" a="1"/>
  <c r="G209" i="49" s="1"/>
  <c r="G209" i="7" a="1"/>
  <c r="G209" i="7" s="1"/>
  <c r="G209" i="50" a="1"/>
  <c r="G209" i="50" s="1"/>
  <c r="G209" i="17" a="1"/>
  <c r="G209" i="17" s="1"/>
  <c r="G209" i="18" a="1"/>
  <c r="G209" i="18" s="1"/>
  <c r="G209" i="19" a="1"/>
  <c r="G209" i="19" s="1"/>
  <c r="G209" i="22" a="1"/>
  <c r="G209" i="22" s="1"/>
  <c r="G209" i="58" a="1"/>
  <c r="G209" i="58" s="1"/>
  <c r="G146" i="53" a="1"/>
  <c r="G146" i="53" s="1"/>
  <c r="G208" i="63" a="1"/>
  <c r="G208" i="63" s="1"/>
  <c r="G208" i="49" a="1"/>
  <c r="G208" i="49" s="1"/>
  <c r="G208" i="7" a="1"/>
  <c r="G208" i="7" s="1"/>
  <c r="G208" i="50" a="1"/>
  <c r="G208" i="50" s="1"/>
  <c r="G208" i="17" a="1"/>
  <c r="G208" i="17" s="1"/>
  <c r="G208" i="18" a="1"/>
  <c r="G208" i="18" s="1"/>
  <c r="G208" i="19" a="1"/>
  <c r="G208" i="19" s="1"/>
  <c r="G208" i="22" a="1"/>
  <c r="G208" i="22" s="1"/>
  <c r="G208" i="58" a="1"/>
  <c r="G208" i="58"/>
  <c r="G145" i="53" a="1"/>
  <c r="G145" i="53" s="1"/>
  <c r="G207" i="63" a="1"/>
  <c r="G207" i="63" s="1"/>
  <c r="G207" i="49" a="1"/>
  <c r="G207" i="49" s="1"/>
  <c r="G207" i="7" a="1"/>
  <c r="G207" i="7" s="1"/>
  <c r="G207" i="50" a="1"/>
  <c r="G207" i="50" s="1"/>
  <c r="G207" i="17" a="1"/>
  <c r="G207" i="17" s="1"/>
  <c r="G207" i="18" a="1"/>
  <c r="G207" i="18" s="1"/>
  <c r="G207" i="19" a="1"/>
  <c r="G207" i="19" s="1"/>
  <c r="G207" i="22" a="1"/>
  <c r="G207" i="22" s="1"/>
  <c r="G207" i="58" a="1"/>
  <c r="G207" i="58" s="1"/>
  <c r="G144" i="53" a="1"/>
  <c r="G144" i="53" s="1"/>
  <c r="G206" i="63" a="1"/>
  <c r="G206" i="63" s="1"/>
  <c r="G206" i="49" a="1"/>
  <c r="G206" i="49" s="1"/>
  <c r="G206" i="7" a="1"/>
  <c r="G206" i="7" s="1"/>
  <c r="G206" i="50" a="1"/>
  <c r="G206" i="50" s="1"/>
  <c r="G206" i="17" a="1"/>
  <c r="G206" i="17" s="1"/>
  <c r="G206" i="18" a="1"/>
  <c r="G206" i="18" s="1"/>
  <c r="G206" i="19" a="1"/>
  <c r="G206" i="19" s="1"/>
  <c r="G206" i="22" a="1"/>
  <c r="G206" i="22" s="1"/>
  <c r="G206" i="58" a="1"/>
  <c r="G206" i="58" s="1"/>
  <c r="G143" i="53" a="1"/>
  <c r="G143" i="53" s="1"/>
  <c r="G205" i="63" a="1"/>
  <c r="G205" i="63" s="1"/>
  <c r="G205" i="49" a="1"/>
  <c r="G205" i="49" s="1"/>
  <c r="G205" i="7" a="1"/>
  <c r="G205" i="7" s="1"/>
  <c r="G205" i="50" a="1"/>
  <c r="G205" i="50" s="1"/>
  <c r="G205" i="17" a="1"/>
  <c r="G205" i="17" s="1"/>
  <c r="G205" i="18" a="1"/>
  <c r="G205" i="18" s="1"/>
  <c r="G205" i="19" a="1"/>
  <c r="G205" i="19" s="1"/>
  <c r="G205" i="22" a="1"/>
  <c r="G205" i="22" s="1"/>
  <c r="G205" i="58" a="1"/>
  <c r="G205" i="58" s="1"/>
  <c r="G142" i="53" a="1"/>
  <c r="G142" i="53" s="1"/>
  <c r="G204" i="63" a="1"/>
  <c r="G204" i="63" s="1"/>
  <c r="G204" i="49" a="1"/>
  <c r="G204" i="49" s="1"/>
  <c r="G204" i="7" a="1"/>
  <c r="G204" i="7" s="1"/>
  <c r="G204" i="50" a="1"/>
  <c r="G204" i="50" s="1"/>
  <c r="G204" i="17" a="1"/>
  <c r="G204" i="17" s="1"/>
  <c r="G204" i="18" a="1"/>
  <c r="G204" i="18" s="1"/>
  <c r="G204" i="19" a="1"/>
  <c r="G204" i="19" s="1"/>
  <c r="G204" i="22" a="1"/>
  <c r="G204" i="22" s="1"/>
  <c r="G204" i="58" a="1"/>
  <c r="G204" i="58" s="1"/>
  <c r="G141" i="53" a="1"/>
  <c r="G141" i="53" s="1"/>
  <c r="G203" i="63" a="1"/>
  <c r="G203" i="63" s="1"/>
  <c r="G203" i="49" a="1"/>
  <c r="G203" i="49" s="1"/>
  <c r="G203" i="7" a="1"/>
  <c r="G203" i="7" s="1"/>
  <c r="G203" i="50" a="1"/>
  <c r="G203" i="50" s="1"/>
  <c r="G203" i="17" a="1"/>
  <c r="G203" i="17" s="1"/>
  <c r="G203" i="18" a="1"/>
  <c r="G203" i="18" s="1"/>
  <c r="G203" i="19" a="1"/>
  <c r="G203" i="19" s="1"/>
  <c r="G203" i="22" a="1"/>
  <c r="G203" i="22" s="1"/>
  <c r="G203" i="58" a="1"/>
  <c r="G203" i="58" s="1"/>
  <c r="G140" i="53" a="1"/>
  <c r="G140" i="53" s="1"/>
  <c r="G202" i="63" a="1"/>
  <c r="G202" i="63" s="1"/>
  <c r="G202" i="49" a="1"/>
  <c r="G202" i="49" s="1"/>
  <c r="G202" i="7" a="1"/>
  <c r="G202" i="7" s="1"/>
  <c r="G202" i="50" a="1"/>
  <c r="G202" i="50" s="1"/>
  <c r="G202" i="17" a="1"/>
  <c r="G202" i="17" s="1"/>
  <c r="G202" i="18" a="1"/>
  <c r="G202" i="18" s="1"/>
  <c r="G202" i="19" a="1"/>
  <c r="G202" i="19" s="1"/>
  <c r="G202" i="22" a="1"/>
  <c r="G202" i="22" s="1"/>
  <c r="G202" i="58" a="1"/>
  <c r="G202" i="58" s="1"/>
  <c r="G136" i="53" a="1"/>
  <c r="G136" i="53" s="1"/>
  <c r="G198" i="63" a="1"/>
  <c r="G198" i="63" s="1"/>
  <c r="G198" i="49" a="1"/>
  <c r="G198" i="49" s="1"/>
  <c r="G198" i="7" a="1"/>
  <c r="G198" i="7" s="1"/>
  <c r="G198" i="50" a="1"/>
  <c r="G198" i="50" s="1"/>
  <c r="G198" i="17" a="1"/>
  <c r="G198" i="17" s="1"/>
  <c r="G198" i="18" a="1"/>
  <c r="G198" i="18" s="1"/>
  <c r="G198" i="19" a="1"/>
  <c r="G198" i="19" s="1"/>
  <c r="G198" i="22" a="1"/>
  <c r="G198" i="22" s="1"/>
  <c r="G198" i="58" a="1"/>
  <c r="G198" i="58" s="1"/>
  <c r="G135" i="53" a="1"/>
  <c r="G135" i="53" s="1"/>
  <c r="G197" i="63" a="1"/>
  <c r="G197" i="63"/>
  <c r="G197" i="49" a="1"/>
  <c r="G197" i="49" s="1"/>
  <c r="G197" i="7" a="1"/>
  <c r="G197" i="7" s="1"/>
  <c r="G197" i="50" a="1"/>
  <c r="G197" i="50" s="1"/>
  <c r="G197" i="17" a="1"/>
  <c r="G197" i="17" s="1"/>
  <c r="G197" i="18" a="1"/>
  <c r="G197" i="18" s="1"/>
  <c r="G197" i="19" a="1"/>
  <c r="G197" i="19" s="1"/>
  <c r="G197" i="22" a="1"/>
  <c r="G197" i="22" s="1"/>
  <c r="G197" i="58" a="1"/>
  <c r="G197" i="58"/>
  <c r="G134" i="53" a="1"/>
  <c r="G134" i="53" s="1"/>
  <c r="G196" i="63" a="1"/>
  <c r="G196" i="63" s="1"/>
  <c r="G196" i="49" a="1"/>
  <c r="G196" i="49" s="1"/>
  <c r="G196" i="7" a="1"/>
  <c r="G196" i="7" s="1"/>
  <c r="G196" i="50" a="1"/>
  <c r="G196" i="50" s="1"/>
  <c r="G196" i="17" a="1"/>
  <c r="G196" i="17" s="1"/>
  <c r="G196" i="18" a="1"/>
  <c r="G196" i="18" s="1"/>
  <c r="G196" i="19" a="1"/>
  <c r="G196" i="19" s="1"/>
  <c r="G196" i="22" a="1"/>
  <c r="G196" i="22" s="1"/>
  <c r="G196" i="58" a="1"/>
  <c r="G196" i="58" s="1"/>
  <c r="G133" i="53" a="1"/>
  <c r="G133" i="53" s="1"/>
  <c r="G195" i="63" a="1"/>
  <c r="G195" i="63" s="1"/>
  <c r="G195" i="49" a="1"/>
  <c r="G195" i="49" s="1"/>
  <c r="G195" i="7" a="1"/>
  <c r="G195" i="7" s="1"/>
  <c r="G195" i="50" a="1"/>
  <c r="G195" i="50" s="1"/>
  <c r="G195" i="17" a="1"/>
  <c r="G195" i="17" s="1"/>
  <c r="G195" i="18" a="1"/>
  <c r="G195" i="18" s="1"/>
  <c r="G195" i="19" a="1"/>
  <c r="G195" i="19" s="1"/>
  <c r="G195" i="22" a="1"/>
  <c r="G195" i="22" s="1"/>
  <c r="G195" i="58" a="1"/>
  <c r="G195" i="58"/>
  <c r="G132" i="53" a="1"/>
  <c r="G132" i="53" s="1"/>
  <c r="G194" i="63" a="1"/>
  <c r="G194" i="63" s="1"/>
  <c r="G194" i="49" a="1"/>
  <c r="G194" i="49" s="1"/>
  <c r="G194" i="7" a="1"/>
  <c r="G194" i="7" s="1"/>
  <c r="G194" i="50" a="1"/>
  <c r="G194" i="50" s="1"/>
  <c r="G194" i="17" a="1"/>
  <c r="G194" i="17" s="1"/>
  <c r="G194" i="18" a="1"/>
  <c r="G194" i="18" s="1"/>
  <c r="G194" i="19" a="1"/>
  <c r="G194" i="19" s="1"/>
  <c r="G194" i="22" a="1"/>
  <c r="G194" i="22" s="1"/>
  <c r="G194" i="58" a="1"/>
  <c r="G194" i="58" s="1"/>
  <c r="G131" i="53" a="1"/>
  <c r="G131" i="53" s="1"/>
  <c r="G193" i="63" a="1"/>
  <c r="G193" i="63" s="1"/>
  <c r="G193" i="49" a="1"/>
  <c r="G193" i="49" s="1"/>
  <c r="G193" i="7" a="1"/>
  <c r="G193" i="7" s="1"/>
  <c r="G193" i="50" a="1"/>
  <c r="G193" i="50" s="1"/>
  <c r="G193" i="17" a="1"/>
  <c r="G193" i="17" s="1"/>
  <c r="G193" i="18" a="1"/>
  <c r="G193" i="18" s="1"/>
  <c r="G193" i="19" a="1"/>
  <c r="G193" i="19" s="1"/>
  <c r="G193" i="22" a="1"/>
  <c r="G193" i="22"/>
  <c r="G193" i="58" a="1"/>
  <c r="G193" i="58" s="1"/>
  <c r="G130" i="53" a="1"/>
  <c r="G130" i="53" s="1"/>
  <c r="G192" i="63" a="1"/>
  <c r="G192" i="63" s="1"/>
  <c r="G192" i="49" a="1"/>
  <c r="G192" i="49" s="1"/>
  <c r="G192" i="7" a="1"/>
  <c r="G192" i="7" s="1"/>
  <c r="G192" i="50" a="1"/>
  <c r="G192" i="50" s="1"/>
  <c r="G192" i="17" a="1"/>
  <c r="G192" i="17" s="1"/>
  <c r="G192" i="18" a="1"/>
  <c r="G192" i="18" s="1"/>
  <c r="G192" i="19" a="1"/>
  <c r="G192" i="19" s="1"/>
  <c r="G192" i="22" a="1"/>
  <c r="G192" i="22" s="1"/>
  <c r="G192" i="58" a="1"/>
  <c r="G192" i="58" s="1"/>
  <c r="G129" i="53" a="1"/>
  <c r="G129" i="53" s="1"/>
  <c r="G191" i="63" a="1"/>
  <c r="G191" i="63" s="1"/>
  <c r="G191" i="49" a="1"/>
  <c r="G191" i="49" s="1"/>
  <c r="G191" i="7" a="1"/>
  <c r="G191" i="7" s="1"/>
  <c r="G191" i="50" a="1"/>
  <c r="G191" i="50" s="1"/>
  <c r="G191" i="17" a="1"/>
  <c r="G191" i="17" s="1"/>
  <c r="G191" i="18" a="1"/>
  <c r="G191" i="18" s="1"/>
  <c r="G191" i="19" a="1"/>
  <c r="G191" i="19" s="1"/>
  <c r="G191" i="22" a="1"/>
  <c r="G191" i="22" s="1"/>
  <c r="G191" i="58" a="1"/>
  <c r="G191" i="58" s="1"/>
  <c r="G125" i="53" a="1"/>
  <c r="G125" i="53" s="1"/>
  <c r="G187" i="63" a="1"/>
  <c r="G187" i="63" s="1"/>
  <c r="G187" i="49" a="1"/>
  <c r="G187" i="49" s="1"/>
  <c r="G187" i="7" a="1"/>
  <c r="G187" i="7" s="1"/>
  <c r="G187" i="50" a="1"/>
  <c r="G187" i="50" s="1"/>
  <c r="G187" i="17" a="1"/>
  <c r="G187" i="17" s="1"/>
  <c r="G187" i="18" a="1"/>
  <c r="G187" i="18"/>
  <c r="G187" i="19" a="1"/>
  <c r="G187" i="19" s="1"/>
  <c r="G187" i="22" a="1"/>
  <c r="G187" i="22" s="1"/>
  <c r="G187" i="58" a="1"/>
  <c r="G187" i="58" s="1"/>
  <c r="G124" i="53" a="1"/>
  <c r="G124" i="53" s="1"/>
  <c r="G186" i="63" a="1"/>
  <c r="G186" i="63" s="1"/>
  <c r="G186" i="49" a="1"/>
  <c r="G186" i="49" s="1"/>
  <c r="G186" i="7" a="1"/>
  <c r="G186" i="7" s="1"/>
  <c r="G186" i="50" a="1"/>
  <c r="G186" i="50" s="1"/>
  <c r="G186" i="17" a="1"/>
  <c r="G186" i="17" s="1"/>
  <c r="G186" i="18" a="1"/>
  <c r="G186" i="18" s="1"/>
  <c r="G186" i="19" a="1"/>
  <c r="G186" i="19" s="1"/>
  <c r="G186" i="22" a="1"/>
  <c r="G186" i="22" s="1"/>
  <c r="G186" i="58" a="1"/>
  <c r="G186" i="58"/>
  <c r="G123" i="53" a="1"/>
  <c r="G123" i="53" s="1"/>
  <c r="G185" i="63" a="1"/>
  <c r="G185" i="63" s="1"/>
  <c r="G185" i="49" a="1"/>
  <c r="G185" i="49" s="1"/>
  <c r="G185" i="7" a="1"/>
  <c r="G185" i="7" s="1"/>
  <c r="G185" i="50" a="1"/>
  <c r="G185" i="50"/>
  <c r="G185" i="17" a="1"/>
  <c r="G185" i="17" s="1"/>
  <c r="G185" i="18" a="1"/>
  <c r="G185" i="18" s="1"/>
  <c r="G185" i="19" a="1"/>
  <c r="G185" i="19" s="1"/>
  <c r="G185" i="22" a="1"/>
  <c r="G185" i="22"/>
  <c r="G185" i="58" a="1"/>
  <c r="G185" i="58" s="1"/>
  <c r="G122" i="53" a="1"/>
  <c r="G122" i="53" s="1"/>
  <c r="G184" i="63" a="1"/>
  <c r="G184" i="63" s="1"/>
  <c r="G184" i="49" a="1"/>
  <c r="G184" i="49" s="1"/>
  <c r="G184" i="7" a="1"/>
  <c r="G184" i="7" s="1"/>
  <c r="G184" i="50" a="1"/>
  <c r="G184" i="50" s="1"/>
  <c r="G184" i="17" a="1"/>
  <c r="G184" i="17" s="1"/>
  <c r="G184" i="18" a="1"/>
  <c r="G184" i="18" s="1"/>
  <c r="G184" i="19" a="1"/>
  <c r="G184" i="19" s="1"/>
  <c r="G184" i="22" a="1"/>
  <c r="G184" i="22" s="1"/>
  <c r="G184" i="58" a="1"/>
  <c r="G184" i="58" s="1"/>
  <c r="G121" i="53" a="1"/>
  <c r="G121" i="53" s="1"/>
  <c r="G183" i="63" a="1"/>
  <c r="G183" i="63" s="1"/>
  <c r="G183" i="49" a="1"/>
  <c r="G183" i="49" s="1"/>
  <c r="G183" i="7" a="1"/>
  <c r="G183" i="7" s="1"/>
  <c r="G183" i="50" a="1"/>
  <c r="G183" i="50" s="1"/>
  <c r="G183" i="17" a="1"/>
  <c r="G183" i="17" s="1"/>
  <c r="G183" i="18" a="1"/>
  <c r="G183" i="18" s="1"/>
  <c r="G183" i="19" a="1"/>
  <c r="G183" i="19" s="1"/>
  <c r="G183" i="22" a="1"/>
  <c r="G183" i="22" s="1"/>
  <c r="G183" i="58" a="1"/>
  <c r="G183" i="58" s="1"/>
  <c r="G120" i="53" a="1"/>
  <c r="G120" i="53" s="1"/>
  <c r="G182" i="63" a="1"/>
  <c r="G182" i="63" s="1"/>
  <c r="G182" i="49" a="1"/>
  <c r="G182" i="49" s="1"/>
  <c r="G182" i="7" a="1"/>
  <c r="G182" i="7" s="1"/>
  <c r="G182" i="50" a="1"/>
  <c r="G182" i="50"/>
  <c r="G182" i="17" a="1"/>
  <c r="G182" i="17" s="1"/>
  <c r="G182" i="18" a="1"/>
  <c r="G182" i="18" s="1"/>
  <c r="G182" i="19" a="1"/>
  <c r="G182" i="19" s="1"/>
  <c r="G182" i="22" a="1"/>
  <c r="G182" i="22"/>
  <c r="G182" i="58" a="1"/>
  <c r="G182" i="58" s="1"/>
  <c r="G119" i="53" a="1"/>
  <c r="G119" i="53" s="1"/>
  <c r="G181" i="63" a="1"/>
  <c r="G181" i="63" s="1"/>
  <c r="G181" i="49" a="1"/>
  <c r="G181" i="49" s="1"/>
  <c r="G181" i="7" a="1"/>
  <c r="G181" i="7" s="1"/>
  <c r="G181" i="50" a="1"/>
  <c r="G181" i="50" s="1"/>
  <c r="G181" i="17" a="1"/>
  <c r="G181" i="17" s="1"/>
  <c r="G181" i="18" a="1"/>
  <c r="G181" i="18" s="1"/>
  <c r="G181" i="19" a="1"/>
  <c r="G181" i="19" s="1"/>
  <c r="G181" i="22" a="1"/>
  <c r="G181" i="22" s="1"/>
  <c r="G181" i="58" a="1"/>
  <c r="G181" i="58" s="1"/>
  <c r="G118" i="53" a="1"/>
  <c r="G118" i="53" s="1"/>
  <c r="G180" i="63" a="1"/>
  <c r="G180" i="63" s="1"/>
  <c r="G180" i="49" a="1"/>
  <c r="G180" i="49" s="1"/>
  <c r="G180" i="7" a="1"/>
  <c r="G180" i="7" s="1"/>
  <c r="G180" i="50" a="1"/>
  <c r="G180" i="50" s="1"/>
  <c r="G180" i="17" a="1"/>
  <c r="G180" i="17" s="1"/>
  <c r="G180" i="18" a="1"/>
  <c r="G180" i="18" s="1"/>
  <c r="G180" i="19" a="1"/>
  <c r="G180" i="19" s="1"/>
  <c r="G180" i="22" a="1"/>
  <c r="G180" i="22" s="1"/>
  <c r="G180" i="58" a="1"/>
  <c r="G180" i="58"/>
  <c r="G117" i="53" a="1"/>
  <c r="G117" i="53" s="1"/>
  <c r="G179" i="63" a="1"/>
  <c r="G179" i="63" s="1"/>
  <c r="G179" i="49" a="1"/>
  <c r="G179" i="49" s="1"/>
  <c r="G179" i="7" a="1"/>
  <c r="G179" i="7" s="1"/>
  <c r="G179" i="50" a="1"/>
  <c r="G179" i="50" s="1"/>
  <c r="G179" i="17" a="1"/>
  <c r="G179" i="17" s="1"/>
  <c r="G179" i="18" a="1"/>
  <c r="G179" i="18" s="1"/>
  <c r="G179" i="19" a="1"/>
  <c r="G179" i="19" s="1"/>
  <c r="G179" i="22" a="1"/>
  <c r="G179" i="22" s="1"/>
  <c r="G179" i="58" a="1"/>
  <c r="G179" i="58" s="1"/>
  <c r="G114" i="53" a="1"/>
  <c r="G114" i="53" s="1"/>
  <c r="G176" i="63" a="1"/>
  <c r="G176" i="63" s="1"/>
  <c r="G176" i="49" a="1"/>
  <c r="G176" i="49" s="1"/>
  <c r="G176" i="7" a="1"/>
  <c r="G176" i="7" s="1"/>
  <c r="G176" i="50" a="1"/>
  <c r="G176" i="50" s="1"/>
  <c r="G176" i="17" a="1"/>
  <c r="G176" i="17" s="1"/>
  <c r="G176" i="18" a="1"/>
  <c r="G176" i="18" s="1"/>
  <c r="G176" i="19" a="1"/>
  <c r="G176" i="19" s="1"/>
  <c r="G176" i="22" a="1"/>
  <c r="G176" i="22" s="1"/>
  <c r="G176" i="58" a="1"/>
  <c r="G176" i="58" s="1"/>
  <c r="G113" i="53" a="1"/>
  <c r="G113" i="53" s="1"/>
  <c r="G175" i="63" a="1"/>
  <c r="G175" i="63" s="1"/>
  <c r="G175" i="49" a="1"/>
  <c r="G175" i="49" s="1"/>
  <c r="G175" i="7" a="1"/>
  <c r="G175" i="7" s="1"/>
  <c r="G175" i="50" a="1"/>
  <c r="G175" i="50" s="1"/>
  <c r="G175" i="17" a="1"/>
  <c r="G175" i="17" s="1"/>
  <c r="G175" i="18" a="1"/>
  <c r="G175" i="18" s="1"/>
  <c r="G175" i="19" a="1"/>
  <c r="G175" i="19" s="1"/>
  <c r="G175" i="22" a="1"/>
  <c r="G175" i="22" s="1"/>
  <c r="G175" i="58" a="1"/>
  <c r="G175" i="58" s="1"/>
  <c r="G112" i="53" a="1"/>
  <c r="G112" i="53" s="1"/>
  <c r="G174" i="63" a="1"/>
  <c r="G174" i="63" s="1"/>
  <c r="G174" i="49" a="1"/>
  <c r="G174" i="49" s="1"/>
  <c r="G174" i="7" a="1"/>
  <c r="G174" i="7" s="1"/>
  <c r="G174" i="50" a="1"/>
  <c r="G174" i="50"/>
  <c r="G174" i="17" a="1"/>
  <c r="G174" i="17" s="1"/>
  <c r="G174" i="18" a="1"/>
  <c r="G174" i="18" s="1"/>
  <c r="G174" i="19" a="1"/>
  <c r="G174" i="19" s="1"/>
  <c r="G174" i="22" a="1"/>
  <c r="G174" i="22" s="1"/>
  <c r="G174" i="58" a="1"/>
  <c r="G174" i="58"/>
  <c r="G111" i="53" a="1"/>
  <c r="G111" i="53" s="1"/>
  <c r="G173" i="63" a="1"/>
  <c r="G173" i="63" s="1"/>
  <c r="G173" i="49" a="1"/>
  <c r="G173" i="49" s="1"/>
  <c r="G173" i="7" a="1"/>
  <c r="G173" i="7" s="1"/>
  <c r="G173" i="50" a="1"/>
  <c r="G173" i="50" s="1"/>
  <c r="G173" i="17" a="1"/>
  <c r="G173" i="17" s="1"/>
  <c r="G173" i="18" a="1"/>
  <c r="G173" i="18" s="1"/>
  <c r="G173" i="19" a="1"/>
  <c r="G173" i="19" s="1"/>
  <c r="G173" i="22" a="1"/>
  <c r="G173" i="22"/>
  <c r="G173" i="58" a="1"/>
  <c r="G173" i="58" s="1"/>
  <c r="G110" i="53" a="1"/>
  <c r="G110" i="53" s="1"/>
  <c r="G172" i="63" a="1"/>
  <c r="G172" i="63" s="1"/>
  <c r="G172" i="49" a="1"/>
  <c r="G172" i="49" s="1"/>
  <c r="G172" i="7" a="1"/>
  <c r="G172" i="7" s="1"/>
  <c r="G172" i="50" a="1"/>
  <c r="G172" i="50" s="1"/>
  <c r="G172" i="17" a="1"/>
  <c r="G172" i="17" s="1"/>
  <c r="G172" i="18" a="1"/>
  <c r="G172" i="18" s="1"/>
  <c r="G172" i="19" a="1"/>
  <c r="G172" i="19" s="1"/>
  <c r="G172" i="22" a="1"/>
  <c r="G172" i="22" s="1"/>
  <c r="G172" i="58" a="1"/>
  <c r="G172" i="58" s="1"/>
  <c r="G109" i="53" a="1"/>
  <c r="G109" i="53"/>
  <c r="G171" i="63" a="1"/>
  <c r="G171" i="63" s="1"/>
  <c r="G171" i="49" a="1"/>
  <c r="G171" i="49" s="1"/>
  <c r="G171" i="7" a="1"/>
  <c r="G171" i="7" s="1"/>
  <c r="G171" i="50" a="1"/>
  <c r="G171" i="50" s="1"/>
  <c r="G171" i="17" a="1"/>
  <c r="G171" i="17" s="1"/>
  <c r="G171" i="18" a="1"/>
  <c r="G171" i="18" s="1"/>
  <c r="G171" i="19" a="1"/>
  <c r="G171" i="19" s="1"/>
  <c r="G171" i="22" a="1"/>
  <c r="G171" i="22" s="1"/>
  <c r="G171" i="58" a="1"/>
  <c r="G171" i="58" s="1"/>
  <c r="G108" i="53" a="1"/>
  <c r="G108" i="53" s="1"/>
  <c r="G170" i="63" a="1"/>
  <c r="G170" i="63" s="1"/>
  <c r="G170" i="49" a="1"/>
  <c r="G170" i="49" s="1"/>
  <c r="G170" i="7" a="1"/>
  <c r="G170" i="7" s="1"/>
  <c r="G170" i="50" a="1"/>
  <c r="G170" i="50" s="1"/>
  <c r="G170" i="17" a="1"/>
  <c r="G170" i="17" s="1"/>
  <c r="G170" i="18" a="1"/>
  <c r="G170" i="18" s="1"/>
  <c r="G170" i="19" a="1"/>
  <c r="G170" i="19" s="1"/>
  <c r="G170" i="22" a="1"/>
  <c r="G170" i="22" s="1"/>
  <c r="G170" i="58" a="1"/>
  <c r="G170" i="58" s="1"/>
  <c r="G107" i="53" a="1"/>
  <c r="G107" i="53" s="1"/>
  <c r="G169" i="63" a="1"/>
  <c r="G169" i="63" s="1"/>
  <c r="G169" i="49" a="1"/>
  <c r="G169" i="49" s="1"/>
  <c r="G169" i="7" a="1"/>
  <c r="G169" i="7" s="1"/>
  <c r="G169" i="50" a="1"/>
  <c r="G169" i="50" s="1"/>
  <c r="G169" i="17" a="1"/>
  <c r="G169" i="17" s="1"/>
  <c r="G169" i="18" a="1"/>
  <c r="G169" i="18" s="1"/>
  <c r="G169" i="19" a="1"/>
  <c r="G169" i="19" s="1"/>
  <c r="G169" i="22" a="1"/>
  <c r="G169" i="22" s="1"/>
  <c r="G169" i="58" a="1"/>
  <c r="G169" i="58" s="1"/>
  <c r="G103" i="53" a="1"/>
  <c r="G103" i="53" s="1"/>
  <c r="G165" i="63" a="1"/>
  <c r="G165" i="63" s="1"/>
  <c r="G165" i="49" a="1"/>
  <c r="G165" i="49" s="1"/>
  <c r="G165" i="7" a="1"/>
  <c r="G165" i="7" s="1"/>
  <c r="G165" i="50" a="1"/>
  <c r="G165" i="50" s="1"/>
  <c r="G165" i="17" a="1"/>
  <c r="G165" i="17" s="1"/>
  <c r="G165" i="18" a="1"/>
  <c r="G165" i="18" s="1"/>
  <c r="G165" i="19" a="1"/>
  <c r="G165" i="19" s="1"/>
  <c r="G165" i="22" a="1"/>
  <c r="G165" i="22" s="1"/>
  <c r="G165" i="58" a="1"/>
  <c r="G165" i="58" s="1"/>
  <c r="G102" i="53" a="1"/>
  <c r="G102" i="53" s="1"/>
  <c r="G164" i="63" a="1"/>
  <c r="G164" i="63" s="1"/>
  <c r="G164" i="49" a="1"/>
  <c r="G164" i="49" s="1"/>
  <c r="G164" i="7" a="1"/>
  <c r="G164" i="7" s="1"/>
  <c r="G164" i="50" a="1"/>
  <c r="G164" i="50" s="1"/>
  <c r="G164" i="17" a="1"/>
  <c r="G164" i="17" s="1"/>
  <c r="G164" i="18" a="1"/>
  <c r="G164" i="18" s="1"/>
  <c r="G164" i="19" a="1"/>
  <c r="G164" i="19" s="1"/>
  <c r="G164" i="22" a="1"/>
  <c r="G164" i="22" s="1"/>
  <c r="G164" i="58" a="1"/>
  <c r="G164" i="58"/>
  <c r="G101" i="53" a="1"/>
  <c r="G101" i="53" s="1"/>
  <c r="G163" i="63" a="1"/>
  <c r="G163" i="63" s="1"/>
  <c r="G163" i="49" a="1"/>
  <c r="G163" i="49" s="1"/>
  <c r="G163" i="7" a="1"/>
  <c r="G163" i="7" s="1"/>
  <c r="G163" i="50" a="1"/>
  <c r="G163" i="50" s="1"/>
  <c r="G163" i="17" a="1"/>
  <c r="G163" i="17" s="1"/>
  <c r="G163" i="18" a="1"/>
  <c r="G163" i="18" s="1"/>
  <c r="G163" i="19" a="1"/>
  <c r="G163" i="19" s="1"/>
  <c r="G163" i="22" a="1"/>
  <c r="G163" i="22" s="1"/>
  <c r="G163" i="58" a="1"/>
  <c r="G163" i="58" s="1"/>
  <c r="G100" i="53" a="1"/>
  <c r="G100" i="53" s="1"/>
  <c r="G162" i="63" a="1"/>
  <c r="G162" i="63" s="1"/>
  <c r="G162" i="49" a="1"/>
  <c r="G162" i="49" s="1"/>
  <c r="G162" i="7" a="1"/>
  <c r="G162" i="7" s="1"/>
  <c r="G162" i="50" a="1"/>
  <c r="G162" i="50" s="1"/>
  <c r="G162" i="17" a="1"/>
  <c r="G162" i="17" s="1"/>
  <c r="G162" i="18" a="1"/>
  <c r="G162" i="18" s="1"/>
  <c r="G162" i="19" a="1"/>
  <c r="G162" i="19" s="1"/>
  <c r="G162" i="22" a="1"/>
  <c r="G162" i="22" s="1"/>
  <c r="G162" i="58" a="1"/>
  <c r="G162" i="58" s="1"/>
  <c r="G99" i="53" a="1"/>
  <c r="G99" i="53" s="1"/>
  <c r="G161" i="63" a="1"/>
  <c r="G161" i="63" s="1"/>
  <c r="G161" i="49" a="1"/>
  <c r="G161" i="49" s="1"/>
  <c r="G161" i="7" a="1"/>
  <c r="G161" i="7" s="1"/>
  <c r="G161" i="50" a="1"/>
  <c r="G161" i="50" s="1"/>
  <c r="G161" i="17" a="1"/>
  <c r="G161" i="17" s="1"/>
  <c r="G161" i="18" a="1"/>
  <c r="G161" i="18" s="1"/>
  <c r="G161" i="19" a="1"/>
  <c r="G161" i="19" s="1"/>
  <c r="G161" i="22" a="1"/>
  <c r="G161" i="22" s="1"/>
  <c r="G161" i="58" a="1"/>
  <c r="G161" i="58" s="1"/>
  <c r="G98" i="53" a="1"/>
  <c r="G98" i="53" s="1"/>
  <c r="G160" i="63" a="1"/>
  <c r="G160" i="63" s="1"/>
  <c r="G160" i="49" a="1"/>
  <c r="G160" i="49" s="1"/>
  <c r="G160" i="7" a="1"/>
  <c r="G160" i="7" s="1"/>
  <c r="G160" i="50" a="1"/>
  <c r="G160" i="50" s="1"/>
  <c r="G160" i="17" a="1"/>
  <c r="G160" i="17" s="1"/>
  <c r="G160" i="18" a="1"/>
  <c r="G160" i="18" s="1"/>
  <c r="G160" i="19" a="1"/>
  <c r="G160" i="19" s="1"/>
  <c r="G160" i="22" a="1"/>
  <c r="G160" i="22" s="1"/>
  <c r="G160" i="58" a="1"/>
  <c r="G160" i="58" s="1"/>
  <c r="G97" i="53" a="1"/>
  <c r="G97" i="53" s="1"/>
  <c r="G159" i="63" a="1"/>
  <c r="G159" i="63" s="1"/>
  <c r="G159" i="49" a="1"/>
  <c r="G159" i="49" s="1"/>
  <c r="G159" i="7" a="1"/>
  <c r="G159" i="7" s="1"/>
  <c r="G159" i="50" a="1"/>
  <c r="G159" i="50" s="1"/>
  <c r="G159" i="17" a="1"/>
  <c r="G159" i="17" s="1"/>
  <c r="G159" i="18" a="1"/>
  <c r="G159" i="18" s="1"/>
  <c r="G159" i="19" a="1"/>
  <c r="G159" i="19" s="1"/>
  <c r="G159" i="22" a="1"/>
  <c r="G159" i="22"/>
  <c r="G159" i="58" a="1"/>
  <c r="G159" i="58" s="1"/>
  <c r="G96" i="53" a="1"/>
  <c r="G96" i="53" s="1"/>
  <c r="G158" i="63" a="1"/>
  <c r="G158" i="63" s="1"/>
  <c r="G158" i="49" a="1"/>
  <c r="G158" i="49" s="1"/>
  <c r="G158" i="7" a="1"/>
  <c r="G158" i="7" s="1"/>
  <c r="G158" i="50" a="1"/>
  <c r="G158" i="50" s="1"/>
  <c r="G158" i="17" a="1"/>
  <c r="G158" i="17" s="1"/>
  <c r="G158" i="18" a="1"/>
  <c r="G158" i="18" s="1"/>
  <c r="G158" i="19" a="1"/>
  <c r="G158" i="19" s="1"/>
  <c r="G158" i="22" a="1"/>
  <c r="G158" i="22" s="1"/>
  <c r="G158" i="58" a="1"/>
  <c r="G158" i="58"/>
  <c r="G92" i="53" a="1"/>
  <c r="G92" i="53" s="1"/>
  <c r="G154" i="63" a="1"/>
  <c r="G154" i="63" s="1"/>
  <c r="G154" i="49" a="1"/>
  <c r="G154" i="49" s="1"/>
  <c r="G154" i="7" a="1"/>
  <c r="G154" i="7" s="1"/>
  <c r="G154" i="50" a="1"/>
  <c r="G154" i="50"/>
  <c r="G154" i="17" a="1"/>
  <c r="G154" i="17" s="1"/>
  <c r="G154" i="18" a="1"/>
  <c r="G154" i="18" s="1"/>
  <c r="G154" i="19" a="1"/>
  <c r="G154" i="19" s="1"/>
  <c r="G154" i="22" a="1"/>
  <c r="G154" i="22"/>
  <c r="G154" i="58" a="1"/>
  <c r="G154" i="58"/>
  <c r="G91" i="53" a="1"/>
  <c r="G91" i="53" s="1"/>
  <c r="G153" i="63" a="1"/>
  <c r="G153" i="63" s="1"/>
  <c r="G153" i="49" a="1"/>
  <c r="G153" i="49" s="1"/>
  <c r="G153" i="7" a="1"/>
  <c r="G153" i="7" s="1"/>
  <c r="G153" i="50" a="1"/>
  <c r="G153" i="50" s="1"/>
  <c r="G153" i="17" a="1"/>
  <c r="G153" i="17" s="1"/>
  <c r="G153" i="18" a="1"/>
  <c r="G153" i="18" s="1"/>
  <c r="G153" i="19" a="1"/>
  <c r="G153" i="19" s="1"/>
  <c r="G153" i="22" a="1"/>
  <c r="G153" i="22" s="1"/>
  <c r="G153" i="58" a="1"/>
  <c r="G153" i="58" s="1"/>
  <c r="G90" i="53" a="1"/>
  <c r="G90" i="53" s="1"/>
  <c r="G152" i="63" a="1"/>
  <c r="G152" i="63" s="1"/>
  <c r="G152" i="49" a="1"/>
  <c r="G152" i="49" s="1"/>
  <c r="G152" i="7" a="1"/>
  <c r="G152" i="7" s="1"/>
  <c r="G152" i="50" a="1"/>
  <c r="G152" i="50" s="1"/>
  <c r="G152" i="17" a="1"/>
  <c r="G152" i="17" s="1"/>
  <c r="G152" i="18" a="1"/>
  <c r="G152" i="18" s="1"/>
  <c r="G152" i="19" a="1"/>
  <c r="G152" i="19" s="1"/>
  <c r="G152" i="22" a="1"/>
  <c r="G152" i="22" s="1"/>
  <c r="G152" i="58" a="1"/>
  <c r="G152" i="58"/>
  <c r="G89" i="53" a="1"/>
  <c r="G89" i="53" s="1"/>
  <c r="G151" i="63" a="1"/>
  <c r="G151" i="63" s="1"/>
  <c r="G151" i="49" a="1"/>
  <c r="G151" i="49" s="1"/>
  <c r="G151" i="7" a="1"/>
  <c r="G151" i="7" s="1"/>
  <c r="G151" i="50" a="1"/>
  <c r="G151" i="50" s="1"/>
  <c r="G151" i="17" a="1"/>
  <c r="G151" i="17" s="1"/>
  <c r="G151" i="18" a="1"/>
  <c r="G151" i="18" s="1"/>
  <c r="G151" i="19" a="1"/>
  <c r="G151" i="19" s="1"/>
  <c r="G151" i="22" a="1"/>
  <c r="G151" i="22" s="1"/>
  <c r="G151" i="58" a="1"/>
  <c r="G151" i="58" s="1"/>
  <c r="G88" i="53" a="1"/>
  <c r="G88" i="53" s="1"/>
  <c r="G150" i="63" a="1"/>
  <c r="G150" i="63" s="1"/>
  <c r="G150" i="49" a="1"/>
  <c r="G150" i="49" s="1"/>
  <c r="G150" i="7" a="1"/>
  <c r="G150" i="7" s="1"/>
  <c r="G150" i="50" a="1"/>
  <c r="G150" i="50" s="1"/>
  <c r="G150" i="17" a="1"/>
  <c r="G150" i="17" s="1"/>
  <c r="G150" i="18" a="1"/>
  <c r="G150" i="18" s="1"/>
  <c r="G150" i="19" a="1"/>
  <c r="G150" i="19" s="1"/>
  <c r="G150" i="22" a="1"/>
  <c r="G150" i="22" s="1"/>
  <c r="G150" i="58" a="1"/>
  <c r="G150" i="58" s="1"/>
  <c r="G87" i="53" a="1"/>
  <c r="G87" i="53" s="1"/>
  <c r="G149" i="63" a="1"/>
  <c r="G149" i="63" s="1"/>
  <c r="G149" i="49" a="1"/>
  <c r="G149" i="49" s="1"/>
  <c r="G149" i="7" a="1"/>
  <c r="G149" i="7" s="1"/>
  <c r="G149" i="50" a="1"/>
  <c r="G149" i="50" s="1"/>
  <c r="G149" i="17" a="1"/>
  <c r="G149" i="17" s="1"/>
  <c r="G149" i="18" a="1"/>
  <c r="G149" i="18" s="1"/>
  <c r="G149" i="19" a="1"/>
  <c r="G149" i="19" s="1"/>
  <c r="G149" i="22" a="1"/>
  <c r="G149" i="22" s="1"/>
  <c r="G149" i="58" a="1"/>
  <c r="G149" i="58" s="1"/>
  <c r="G86" i="53" a="1"/>
  <c r="G86" i="53" s="1"/>
  <c r="G148" i="63" a="1"/>
  <c r="G148" i="63" s="1"/>
  <c r="G148" i="49" a="1"/>
  <c r="G148" i="49" s="1"/>
  <c r="G148" i="7" a="1"/>
  <c r="G148" i="7" s="1"/>
  <c r="G148" i="50" a="1"/>
  <c r="G148" i="50" s="1"/>
  <c r="G148" i="17" a="1"/>
  <c r="G148" i="17" s="1"/>
  <c r="G148" i="18" a="1"/>
  <c r="G148" i="18" s="1"/>
  <c r="G148" i="19" a="1"/>
  <c r="G148" i="19" s="1"/>
  <c r="G148" i="22" a="1"/>
  <c r="G148" i="22" s="1"/>
  <c r="G148" i="58" a="1"/>
  <c r="G148" i="58" s="1"/>
  <c r="G85" i="53" a="1"/>
  <c r="G85" i="53" s="1"/>
  <c r="G147" i="63" a="1"/>
  <c r="G147" i="63" s="1"/>
  <c r="G147" i="49" a="1"/>
  <c r="G147" i="49" s="1"/>
  <c r="G147" i="7" a="1"/>
  <c r="G147" i="7" s="1"/>
  <c r="G147" i="50" a="1"/>
  <c r="G147" i="50" s="1"/>
  <c r="G147" i="17" a="1"/>
  <c r="G147" i="17" s="1"/>
  <c r="G147" i="18" a="1"/>
  <c r="G147" i="18" s="1"/>
  <c r="G147" i="19" a="1"/>
  <c r="G147" i="19" s="1"/>
  <c r="G147" i="22" a="1"/>
  <c r="G147" i="22" s="1"/>
  <c r="G147" i="58" a="1"/>
  <c r="G147" i="58"/>
  <c r="G81" i="53" a="1"/>
  <c r="G81" i="53" s="1"/>
  <c r="G143" i="63" a="1"/>
  <c r="G143" i="63" s="1"/>
  <c r="G143" i="49" a="1"/>
  <c r="G143" i="49" s="1"/>
  <c r="G143" i="7" a="1"/>
  <c r="G143" i="7" s="1"/>
  <c r="G143" i="50" a="1"/>
  <c r="G143" i="50" s="1"/>
  <c r="G143" i="17" a="1"/>
  <c r="G143" i="17" s="1"/>
  <c r="G143" i="18" a="1"/>
  <c r="G143" i="18" s="1"/>
  <c r="G143" i="19" a="1"/>
  <c r="G143" i="19" s="1"/>
  <c r="G143" i="22" a="1"/>
  <c r="G143" i="22" s="1"/>
  <c r="G143" i="58" a="1"/>
  <c r="G143" i="58" s="1"/>
  <c r="G80" i="53" a="1"/>
  <c r="G80" i="53" s="1"/>
  <c r="G142" i="63" a="1"/>
  <c r="G142" i="63" s="1"/>
  <c r="G142" i="49" a="1"/>
  <c r="G142" i="49" s="1"/>
  <c r="G142" i="7" a="1"/>
  <c r="G142" i="7" s="1"/>
  <c r="G142" i="50" a="1"/>
  <c r="G142" i="50" s="1"/>
  <c r="G142" i="17" a="1"/>
  <c r="G142" i="17" s="1"/>
  <c r="G142" i="18" a="1"/>
  <c r="G142" i="18" s="1"/>
  <c r="G142" i="19" a="1"/>
  <c r="G142" i="19" s="1"/>
  <c r="G142" i="22" a="1"/>
  <c r="G142" i="22" s="1"/>
  <c r="G142" i="58" a="1"/>
  <c r="G142" i="58" s="1"/>
  <c r="G79" i="53" a="1"/>
  <c r="G79" i="53" s="1"/>
  <c r="G141" i="63" a="1"/>
  <c r="G141" i="63" s="1"/>
  <c r="G141" i="49" a="1"/>
  <c r="G141" i="49" s="1"/>
  <c r="G141" i="7" a="1"/>
  <c r="G141" i="7" s="1"/>
  <c r="G141" i="50" a="1"/>
  <c r="G141" i="50" s="1"/>
  <c r="G141" i="17" a="1"/>
  <c r="G141" i="17" s="1"/>
  <c r="G141" i="18" a="1"/>
  <c r="G141" i="18"/>
  <c r="G141" i="19" a="1"/>
  <c r="G141" i="19" s="1"/>
  <c r="G141" i="22" a="1"/>
  <c r="G141" i="22" s="1"/>
  <c r="G141" i="58" a="1"/>
  <c r="G141" i="58" s="1"/>
  <c r="G78" i="53" a="1"/>
  <c r="G78" i="53" s="1"/>
  <c r="G140" i="63" a="1"/>
  <c r="G140" i="63" s="1"/>
  <c r="G140" i="49" a="1"/>
  <c r="G140" i="49" s="1"/>
  <c r="G140" i="7" a="1"/>
  <c r="G140" i="7" s="1"/>
  <c r="G140" i="50" a="1"/>
  <c r="G140" i="50" s="1"/>
  <c r="G140" i="17" a="1"/>
  <c r="G140" i="17" s="1"/>
  <c r="G140" i="18" a="1"/>
  <c r="G140" i="18" s="1"/>
  <c r="G140" i="19" a="1"/>
  <c r="G140" i="19" s="1"/>
  <c r="G140" i="22" a="1"/>
  <c r="G140" i="22"/>
  <c r="G140" i="58" a="1"/>
  <c r="G140" i="58" s="1"/>
  <c r="G77" i="53" a="1"/>
  <c r="G77" i="53" s="1"/>
  <c r="G139" i="63" a="1"/>
  <c r="G139" i="63" s="1"/>
  <c r="G139" i="49" a="1"/>
  <c r="G139" i="49" s="1"/>
  <c r="G139" i="7" a="1"/>
  <c r="G139" i="7" s="1"/>
  <c r="G139" i="50" a="1"/>
  <c r="G139" i="50" s="1"/>
  <c r="G139" i="17" a="1"/>
  <c r="G139" i="17" s="1"/>
  <c r="G139" i="18" a="1"/>
  <c r="G139" i="18" s="1"/>
  <c r="G139" i="19" a="1"/>
  <c r="G139" i="19" s="1"/>
  <c r="G139" i="22" a="1"/>
  <c r="G139" i="22" s="1"/>
  <c r="G139" i="58" a="1"/>
  <c r="G139" i="58" s="1"/>
  <c r="G76" i="53" a="1"/>
  <c r="G76" i="53" s="1"/>
  <c r="G138" i="63" a="1"/>
  <c r="G138" i="63" s="1"/>
  <c r="G138" i="49" a="1"/>
  <c r="G138" i="49" s="1"/>
  <c r="G138" i="7" a="1"/>
  <c r="G138" i="7" s="1"/>
  <c r="G138" i="50" a="1"/>
  <c r="G138" i="50" s="1"/>
  <c r="G138" i="17" a="1"/>
  <c r="G138" i="17" s="1"/>
  <c r="G138" i="18" a="1"/>
  <c r="G138" i="18" s="1"/>
  <c r="G138" i="19" a="1"/>
  <c r="G138" i="19" s="1"/>
  <c r="G138" i="22" a="1"/>
  <c r="G138" i="22" s="1"/>
  <c r="G138" i="58" a="1"/>
  <c r="G138" i="58" s="1"/>
  <c r="G75" i="53" a="1"/>
  <c r="G75" i="53" s="1"/>
  <c r="G137" i="63" a="1"/>
  <c r="G137" i="63" s="1"/>
  <c r="G137" i="49" a="1"/>
  <c r="G137" i="49" s="1"/>
  <c r="G137" i="7" a="1"/>
  <c r="G137" i="7" s="1"/>
  <c r="G137" i="50" a="1"/>
  <c r="G137" i="50" s="1"/>
  <c r="G137" i="17" a="1"/>
  <c r="G137" i="17" s="1"/>
  <c r="G137" i="18" a="1"/>
  <c r="G137" i="18" s="1"/>
  <c r="G137" i="19" a="1"/>
  <c r="G137" i="19" s="1"/>
  <c r="G137" i="22" a="1"/>
  <c r="G137" i="22" s="1"/>
  <c r="G137" i="58" a="1"/>
  <c r="G137" i="58" s="1"/>
  <c r="G74" i="53" a="1"/>
  <c r="G74" i="53" s="1"/>
  <c r="G136" i="63" a="1"/>
  <c r="G136" i="63" s="1"/>
  <c r="G136" i="49" a="1"/>
  <c r="G136" i="49" s="1"/>
  <c r="G136" i="7" a="1"/>
  <c r="G136" i="7" s="1"/>
  <c r="G136" i="50" a="1"/>
  <c r="G136" i="50"/>
  <c r="G136" i="17" a="1"/>
  <c r="G136" i="17" s="1"/>
  <c r="G136" i="18" a="1"/>
  <c r="G136" i="18" s="1"/>
  <c r="G136" i="19" a="1"/>
  <c r="G136" i="19" s="1"/>
  <c r="G136" i="22" a="1"/>
  <c r="G136" i="22"/>
  <c r="G136" i="58" a="1"/>
  <c r="G136" i="58" s="1"/>
  <c r="G70" i="53" a="1"/>
  <c r="G70" i="53" s="1"/>
  <c r="G132" i="63" a="1"/>
  <c r="G132" i="63" s="1"/>
  <c r="G132" i="49" a="1"/>
  <c r="G132" i="49" s="1"/>
  <c r="G132" i="7" a="1"/>
  <c r="G132" i="7" s="1"/>
  <c r="G132" i="50" a="1"/>
  <c r="G132" i="50" s="1"/>
  <c r="G132" i="17" a="1"/>
  <c r="G132" i="17" s="1"/>
  <c r="G132" i="18" a="1"/>
  <c r="G132" i="18" s="1"/>
  <c r="G132" i="19" a="1"/>
  <c r="G132" i="19" s="1"/>
  <c r="G132" i="22" a="1"/>
  <c r="G132" i="22" s="1"/>
  <c r="G132" i="58" a="1"/>
  <c r="G132" i="58"/>
  <c r="G69" i="53" a="1"/>
  <c r="G69" i="53" s="1"/>
  <c r="G131" i="63" a="1"/>
  <c r="G131" i="63" s="1"/>
  <c r="G131" i="49" a="1"/>
  <c r="G131" i="49" s="1"/>
  <c r="G131" i="7" a="1"/>
  <c r="G131" i="7" s="1"/>
  <c r="G131" i="50" a="1"/>
  <c r="G131" i="50" s="1"/>
  <c r="G131" i="17" a="1"/>
  <c r="G131" i="17" s="1"/>
  <c r="G131" i="18" a="1"/>
  <c r="G131" i="18" s="1"/>
  <c r="G131" i="19" a="1"/>
  <c r="G131" i="19" s="1"/>
  <c r="G131" i="22" a="1"/>
  <c r="G131" i="22" s="1"/>
  <c r="G131" i="58" a="1"/>
  <c r="G131" i="58" s="1"/>
  <c r="G68" i="53" a="1"/>
  <c r="G68" i="53" s="1"/>
  <c r="G130" i="63" a="1"/>
  <c r="G130" i="63" s="1"/>
  <c r="G130" i="49" a="1"/>
  <c r="G130" i="49" s="1"/>
  <c r="G130" i="7" a="1"/>
  <c r="G130" i="7" s="1"/>
  <c r="G130" i="50" a="1"/>
  <c r="G130" i="50" s="1"/>
  <c r="G130" i="17" a="1"/>
  <c r="G130" i="17" s="1"/>
  <c r="G130" i="18" a="1"/>
  <c r="G130" i="18" s="1"/>
  <c r="G130" i="19" a="1"/>
  <c r="G130" i="19" s="1"/>
  <c r="G130" i="22" a="1"/>
  <c r="G130" i="22" s="1"/>
  <c r="G130" i="58" a="1"/>
  <c r="G130" i="58" s="1"/>
  <c r="G67" i="53" a="1"/>
  <c r="G67" i="53" s="1"/>
  <c r="G129" i="63" a="1"/>
  <c r="G129" i="63" s="1"/>
  <c r="G129" i="49" a="1"/>
  <c r="G129" i="49" s="1"/>
  <c r="G129" i="7" a="1"/>
  <c r="G129" i="7" s="1"/>
  <c r="G129" i="50" a="1"/>
  <c r="G129" i="50" s="1"/>
  <c r="G129" i="17" a="1"/>
  <c r="G129" i="17" s="1"/>
  <c r="G129" i="18" a="1"/>
  <c r="G129" i="18" s="1"/>
  <c r="G129" i="19" a="1"/>
  <c r="G129" i="19" s="1"/>
  <c r="G129" i="22" a="1"/>
  <c r="G129" i="22" s="1"/>
  <c r="G129" i="58" a="1"/>
  <c r="G129" i="58"/>
  <c r="G66" i="53" a="1"/>
  <c r="G66" i="53" s="1"/>
  <c r="G128" i="63" a="1"/>
  <c r="G128" i="63" s="1"/>
  <c r="G128" i="49" a="1"/>
  <c r="G128" i="49" s="1"/>
  <c r="G128" i="7" a="1"/>
  <c r="G128" i="7" s="1"/>
  <c r="G128" i="50" a="1"/>
  <c r="G128" i="50" s="1"/>
  <c r="G128" i="17" a="1"/>
  <c r="G128" i="17" s="1"/>
  <c r="G128" i="18" a="1"/>
  <c r="G128" i="18" s="1"/>
  <c r="G128" i="19" a="1"/>
  <c r="G128" i="19" s="1"/>
  <c r="G128" i="22" a="1"/>
  <c r="G128" i="22" s="1"/>
  <c r="G128" i="58" a="1"/>
  <c r="G128" i="58" s="1"/>
  <c r="G65" i="53" a="1"/>
  <c r="G65" i="53" s="1"/>
  <c r="G127" i="63" a="1"/>
  <c r="G127" i="63" s="1"/>
  <c r="G127" i="49" a="1"/>
  <c r="G127" i="49" s="1"/>
  <c r="G127" i="7" a="1"/>
  <c r="G127" i="7" s="1"/>
  <c r="G127" i="50" a="1"/>
  <c r="G127" i="50" s="1"/>
  <c r="G127" i="17" a="1"/>
  <c r="G127" i="17" s="1"/>
  <c r="G127" i="18" a="1"/>
  <c r="G127" i="18" s="1"/>
  <c r="G127" i="19" a="1"/>
  <c r="G127" i="19" s="1"/>
  <c r="G127" i="22" a="1"/>
  <c r="G127" i="22"/>
  <c r="G127" i="58" a="1"/>
  <c r="G127" i="58" s="1"/>
  <c r="G64" i="53" a="1"/>
  <c r="G64" i="53" s="1"/>
  <c r="G126" i="63" a="1"/>
  <c r="G126" i="63" s="1"/>
  <c r="G126" i="49" a="1"/>
  <c r="G126" i="49" s="1"/>
  <c r="G126" i="7" a="1"/>
  <c r="G126" i="7" s="1"/>
  <c r="G126" i="50" a="1"/>
  <c r="G126" i="50"/>
  <c r="G126" i="17" a="1"/>
  <c r="G126" i="17" s="1"/>
  <c r="G126" i="18" a="1"/>
  <c r="G126" i="18" s="1"/>
  <c r="G126" i="19" a="1"/>
  <c r="G126" i="19" s="1"/>
  <c r="G126" i="22" a="1"/>
  <c r="G126" i="22" s="1"/>
  <c r="G126" i="58" a="1"/>
  <c r="G126" i="58" s="1"/>
  <c r="G63" i="53" a="1"/>
  <c r="G63" i="53" s="1"/>
  <c r="G125" i="63" a="1"/>
  <c r="G125" i="63" s="1"/>
  <c r="G125" i="49" a="1"/>
  <c r="G125" i="49" s="1"/>
  <c r="G125" i="7" a="1"/>
  <c r="G125" i="7" s="1"/>
  <c r="G125" i="50" a="1"/>
  <c r="G125" i="50" s="1"/>
  <c r="G125" i="17" a="1"/>
  <c r="G125" i="17" s="1"/>
  <c r="G125" i="18" a="1"/>
  <c r="G125" i="18" s="1"/>
  <c r="G125" i="19" a="1"/>
  <c r="G125" i="19" s="1"/>
  <c r="G125" i="22" a="1"/>
  <c r="G125" i="22" s="1"/>
  <c r="G125" i="58" a="1"/>
  <c r="G125" i="58" s="1"/>
  <c r="C180" i="53" a="1"/>
  <c r="C180" i="53" s="1"/>
  <c r="C242" i="63" a="1"/>
  <c r="C242" i="63" s="1"/>
  <c r="C242" i="49" a="1"/>
  <c r="C242" i="49" s="1"/>
  <c r="C242" i="7" a="1"/>
  <c r="C242" i="7" s="1"/>
  <c r="C242" i="50" a="1"/>
  <c r="C242" i="50" s="1"/>
  <c r="C242" i="17" a="1"/>
  <c r="C242" i="17" s="1"/>
  <c r="C242" i="18" a="1"/>
  <c r="C242" i="18" s="1"/>
  <c r="C242" i="19" a="1"/>
  <c r="C242" i="19" s="1"/>
  <c r="C242" i="22" a="1"/>
  <c r="C242" i="22"/>
  <c r="C242" i="58" a="1"/>
  <c r="C242" i="58" s="1"/>
  <c r="C179" i="53" a="1"/>
  <c r="C179" i="53" s="1"/>
  <c r="C241" i="63" a="1"/>
  <c r="C241" i="63" s="1"/>
  <c r="C241" i="49" a="1"/>
  <c r="C241" i="49" s="1"/>
  <c r="C241" i="7" a="1"/>
  <c r="C241" i="7" s="1"/>
  <c r="C241" i="50" a="1"/>
  <c r="C241" i="50" s="1"/>
  <c r="C241" i="17" a="1"/>
  <c r="C241" i="17" s="1"/>
  <c r="C241" i="18" a="1"/>
  <c r="C241" i="18" s="1"/>
  <c r="C241" i="19" a="1"/>
  <c r="C241" i="19" s="1"/>
  <c r="C241" i="22" a="1"/>
  <c r="C241" i="22" s="1"/>
  <c r="C241" i="58" a="1"/>
  <c r="C241" i="58" s="1"/>
  <c r="C178" i="53" a="1"/>
  <c r="C178" i="53" s="1"/>
  <c r="C240" i="63" a="1"/>
  <c r="C240" i="63" s="1"/>
  <c r="C240" i="49" a="1"/>
  <c r="C240" i="49" s="1"/>
  <c r="C240" i="7" a="1"/>
  <c r="C240" i="7" s="1"/>
  <c r="C240" i="50" a="1"/>
  <c r="C240" i="50" s="1"/>
  <c r="C240" i="17" a="1"/>
  <c r="C240" i="17" s="1"/>
  <c r="C240" i="18" a="1"/>
  <c r="C240" i="18" s="1"/>
  <c r="C240" i="19" a="1"/>
  <c r="C240" i="19" s="1"/>
  <c r="C240" i="22" a="1"/>
  <c r="C240" i="22" s="1"/>
  <c r="C240" i="58" a="1"/>
  <c r="C240" i="58"/>
  <c r="C177" i="53" a="1"/>
  <c r="C177" i="53" s="1"/>
  <c r="C239" i="63" a="1"/>
  <c r="C239" i="63" s="1"/>
  <c r="C239" i="49" a="1"/>
  <c r="C239" i="49" s="1"/>
  <c r="C239" i="7" a="1"/>
  <c r="C239" i="7" s="1"/>
  <c r="C239" i="50" a="1"/>
  <c r="C239" i="50"/>
  <c r="C239" i="17" a="1"/>
  <c r="C239" i="17" s="1"/>
  <c r="C239" i="18" a="1"/>
  <c r="C239" i="18" s="1"/>
  <c r="C239" i="19" a="1"/>
  <c r="C239" i="19" s="1"/>
  <c r="C239" i="22" a="1"/>
  <c r="C239" i="22"/>
  <c r="C239" i="58" a="1"/>
  <c r="C239" i="58" s="1"/>
  <c r="C176" i="53" a="1"/>
  <c r="C176" i="53" s="1"/>
  <c r="C238" i="63" a="1"/>
  <c r="C238" i="63" s="1"/>
  <c r="C238" i="49" a="1"/>
  <c r="C238" i="49" s="1"/>
  <c r="C238" i="7" a="1"/>
  <c r="C238" i="7" s="1"/>
  <c r="C238" i="50" a="1"/>
  <c r="C238" i="50" s="1"/>
  <c r="C238" i="17" a="1"/>
  <c r="C238" i="17" s="1"/>
  <c r="C238" i="18" a="1"/>
  <c r="C238" i="18" s="1"/>
  <c r="C238" i="19" a="1"/>
  <c r="C238" i="19" s="1"/>
  <c r="C238" i="22" a="1"/>
  <c r="C238" i="22" s="1"/>
  <c r="C238" i="58" a="1"/>
  <c r="C238" i="58" s="1"/>
  <c r="C175" i="53" a="1"/>
  <c r="C175" i="53" s="1"/>
  <c r="C237" i="63" a="1"/>
  <c r="C237" i="63" s="1"/>
  <c r="C237" i="49" a="1"/>
  <c r="C237" i="49" s="1"/>
  <c r="C237" i="7" a="1"/>
  <c r="C237" i="7" s="1"/>
  <c r="C237" i="50" a="1"/>
  <c r="C237" i="50" s="1"/>
  <c r="C237" i="17" a="1"/>
  <c r="C237" i="17" s="1"/>
  <c r="C237" i="18" a="1"/>
  <c r="C237" i="18" s="1"/>
  <c r="C237" i="19" a="1"/>
  <c r="C237" i="19" s="1"/>
  <c r="C237" i="22" a="1"/>
  <c r="C237" i="22" s="1"/>
  <c r="C237" i="58" a="1"/>
  <c r="C237" i="58" s="1"/>
  <c r="C174" i="53" a="1"/>
  <c r="C174" i="53" s="1"/>
  <c r="C236" i="63" a="1"/>
  <c r="C236" i="63" s="1"/>
  <c r="C236" i="49" a="1"/>
  <c r="C236" i="49" s="1"/>
  <c r="C236" i="7" a="1"/>
  <c r="C236" i="7" s="1"/>
  <c r="C236" i="50" a="1"/>
  <c r="C236" i="50" s="1"/>
  <c r="C236" i="17" a="1"/>
  <c r="C236" i="17" s="1"/>
  <c r="C236" i="18" a="1"/>
  <c r="C236" i="18" s="1"/>
  <c r="C236" i="19" a="1"/>
  <c r="C236" i="19" s="1"/>
  <c r="C236" i="22" a="1"/>
  <c r="C236" i="22" s="1"/>
  <c r="C236" i="58" a="1"/>
  <c r="C236" i="58"/>
  <c r="C173" i="53" a="1"/>
  <c r="C173" i="53" s="1"/>
  <c r="C235" i="63" a="1"/>
  <c r="C235" i="63" s="1"/>
  <c r="C235" i="49" a="1"/>
  <c r="C235" i="49" s="1"/>
  <c r="C235" i="7" a="1"/>
  <c r="C235" i="7" s="1"/>
  <c r="C235" i="50" a="1"/>
  <c r="C235" i="50" s="1"/>
  <c r="C235" i="17" a="1"/>
  <c r="C235" i="17" s="1"/>
  <c r="C235" i="18" a="1"/>
  <c r="C235" i="18" s="1"/>
  <c r="C235" i="19" a="1"/>
  <c r="C235" i="19" s="1"/>
  <c r="C235" i="22" a="1"/>
  <c r="C235" i="22" s="1"/>
  <c r="C235" i="58" a="1"/>
  <c r="C235" i="58" s="1"/>
  <c r="C162" i="53" a="1"/>
  <c r="C162" i="53" s="1"/>
  <c r="C224" i="63" a="1"/>
  <c r="C224" i="63" s="1"/>
  <c r="C224" i="49" a="1"/>
  <c r="C224" i="49" s="1"/>
  <c r="C224" i="7" a="1"/>
  <c r="C224" i="7" s="1"/>
  <c r="C224" i="50" a="1"/>
  <c r="C224" i="50" s="1"/>
  <c r="C224" i="17" a="1"/>
  <c r="C224" i="17" s="1"/>
  <c r="C224" i="18" a="1"/>
  <c r="C224" i="18" s="1"/>
  <c r="C224" i="19" a="1"/>
  <c r="C224" i="19" s="1"/>
  <c r="C224" i="22" a="1"/>
  <c r="C224" i="22" s="1"/>
  <c r="C224" i="58" a="1"/>
  <c r="C224" i="58" s="1"/>
  <c r="G161" i="53" a="1"/>
  <c r="G161" i="53" s="1"/>
  <c r="G223" i="63" a="1"/>
  <c r="G223" i="63" s="1"/>
  <c r="G223" i="49" a="1"/>
  <c r="G223" i="49" s="1"/>
  <c r="G223" i="7" a="1"/>
  <c r="G223" i="7" s="1"/>
  <c r="G223" i="50" a="1"/>
  <c r="G223" i="50" s="1"/>
  <c r="G223" i="17" a="1"/>
  <c r="G223" i="17" s="1"/>
  <c r="G223" i="18" a="1"/>
  <c r="G223" i="18" s="1"/>
  <c r="G223" i="19" a="1"/>
  <c r="G223" i="19" s="1"/>
  <c r="G223" i="22" a="1"/>
  <c r="G223" i="22" s="1"/>
  <c r="G223" i="58" a="1"/>
  <c r="G223" i="58" s="1"/>
  <c r="G150" i="53" a="1"/>
  <c r="G150" i="53" s="1"/>
  <c r="G212" i="63" a="1"/>
  <c r="G212" i="63" s="1"/>
  <c r="G212" i="49" a="1"/>
  <c r="G212" i="49" s="1"/>
  <c r="G212" i="7" a="1"/>
  <c r="G212" i="7" s="1"/>
  <c r="G212" i="50" a="1"/>
  <c r="G212" i="50" s="1"/>
  <c r="G212" i="17" a="1"/>
  <c r="G212" i="17" s="1"/>
  <c r="G212" i="18" a="1"/>
  <c r="G212" i="18" s="1"/>
  <c r="G212" i="19" a="1"/>
  <c r="G212" i="19" s="1"/>
  <c r="G212" i="22" a="1"/>
  <c r="G212" i="22" s="1"/>
  <c r="G212" i="58" a="1"/>
  <c r="G212" i="58" s="1"/>
  <c r="G139" i="53" a="1"/>
  <c r="G139" i="53" s="1"/>
  <c r="G201" i="63" a="1"/>
  <c r="G201" i="63" s="1"/>
  <c r="G201" i="49" a="1"/>
  <c r="G201" i="49" s="1"/>
  <c r="G201" i="7" a="1"/>
  <c r="G201" i="7" s="1"/>
  <c r="G201" i="50" a="1"/>
  <c r="G201" i="50" s="1"/>
  <c r="G201" i="17" a="1"/>
  <c r="G201" i="17" s="1"/>
  <c r="G201" i="18" a="1"/>
  <c r="G201" i="18" s="1"/>
  <c r="G201" i="19" a="1"/>
  <c r="G201" i="19" s="1"/>
  <c r="G201" i="22" a="1"/>
  <c r="G201" i="22"/>
  <c r="G201" i="58" a="1"/>
  <c r="G201" i="58" s="1"/>
  <c r="G106" i="53" a="1"/>
  <c r="G106" i="53" s="1"/>
  <c r="G168" i="63" a="1"/>
  <c r="G168" i="63" s="1"/>
  <c r="G168" i="49" a="1"/>
  <c r="G168" i="49" s="1"/>
  <c r="G168" i="7" a="1"/>
  <c r="G168" i="7" s="1"/>
  <c r="G168" i="50" a="1"/>
  <c r="G168" i="50" s="1"/>
  <c r="G168" i="17" a="1"/>
  <c r="G168" i="17" s="1"/>
  <c r="G168" i="18" a="1"/>
  <c r="G168" i="18" s="1"/>
  <c r="G168" i="19" a="1"/>
  <c r="G168" i="19" s="1"/>
  <c r="G168" i="22" a="1"/>
  <c r="G168" i="22" s="1"/>
  <c r="G168" i="58" a="1"/>
  <c r="G168" i="58" s="1"/>
  <c r="G95" i="53" a="1"/>
  <c r="G95" i="53" s="1"/>
  <c r="G157" i="63" a="1"/>
  <c r="G157" i="63" s="1"/>
  <c r="G157" i="49" a="1"/>
  <c r="G157" i="49" s="1"/>
  <c r="G157" i="7" a="1"/>
  <c r="G157" i="7" s="1"/>
  <c r="G157" i="50" a="1"/>
  <c r="G157" i="50" s="1"/>
  <c r="G157" i="17" a="1"/>
  <c r="G157" i="17" s="1"/>
  <c r="G157" i="18" a="1"/>
  <c r="G157" i="18" s="1"/>
  <c r="G157" i="19" a="1"/>
  <c r="G157" i="19" s="1"/>
  <c r="G157" i="22" a="1"/>
  <c r="G157" i="22" s="1"/>
  <c r="G157" i="58" a="1"/>
  <c r="G157" i="58" s="1"/>
  <c r="G84" i="53" a="1"/>
  <c r="G84" i="53" s="1"/>
  <c r="G146" i="63" a="1"/>
  <c r="G146" i="63" s="1"/>
  <c r="G146" i="49" a="1"/>
  <c r="G146" i="49" s="1"/>
  <c r="G146" i="7" a="1"/>
  <c r="G146" i="7" s="1"/>
  <c r="G146" i="50" a="1"/>
  <c r="G146" i="50" s="1"/>
  <c r="G146" i="17" a="1"/>
  <c r="G146" i="17" s="1"/>
  <c r="G146" i="18" a="1"/>
  <c r="G146" i="18" s="1"/>
  <c r="G146" i="19" a="1"/>
  <c r="G146" i="19" s="1"/>
  <c r="G146" i="22" a="1"/>
  <c r="G146" i="22" s="1"/>
  <c r="G146" i="58" a="1"/>
  <c r="G146" i="58"/>
  <c r="G73" i="53" a="1"/>
  <c r="G73" i="53" s="1"/>
  <c r="G135" i="63" a="1"/>
  <c r="G135" i="63" s="1"/>
  <c r="G135" i="49" a="1"/>
  <c r="G135" i="49" s="1"/>
  <c r="G135" i="7" a="1"/>
  <c r="G135" i="7" s="1"/>
  <c r="G135" i="50" a="1"/>
  <c r="G135" i="50" s="1"/>
  <c r="G135" i="17" a="1"/>
  <c r="G135" i="17" s="1"/>
  <c r="G135" i="18" a="1"/>
  <c r="G135" i="18" s="1"/>
  <c r="G135" i="19" a="1"/>
  <c r="G135" i="19" s="1"/>
  <c r="G135" i="22" a="1"/>
  <c r="G135" i="22" s="1"/>
  <c r="G135" i="58" a="1"/>
  <c r="G135" i="58" s="1"/>
  <c r="G62" i="53" a="1"/>
  <c r="G62" i="53" s="1"/>
  <c r="G124" i="63" a="1"/>
  <c r="G124" i="63" s="1"/>
  <c r="G124" i="49" a="1"/>
  <c r="G124" i="49" s="1"/>
  <c r="G124" i="7" a="1"/>
  <c r="G124" i="7" s="1"/>
  <c r="G124" i="50" a="1"/>
  <c r="G124" i="50" s="1"/>
  <c r="G124" i="17" a="1"/>
  <c r="G124" i="17" s="1"/>
  <c r="G124" i="18" a="1"/>
  <c r="G124" i="18" s="1"/>
  <c r="G124" i="19" a="1"/>
  <c r="G124" i="19" s="1"/>
  <c r="G124" i="22" a="1"/>
  <c r="G124" i="22"/>
  <c r="G124" i="58" a="1"/>
  <c r="G124" i="58" s="1"/>
  <c r="C172" i="53" a="1"/>
  <c r="C172" i="53" s="1"/>
  <c r="C234" i="63" a="1"/>
  <c r="C234" i="63" s="1"/>
  <c r="C234" i="49" a="1"/>
  <c r="C234" i="49" s="1"/>
  <c r="C234" i="7" a="1"/>
  <c r="C234" i="7" s="1"/>
  <c r="C234" i="50" a="1"/>
  <c r="C234" i="50" s="1"/>
  <c r="C234" i="17" a="1"/>
  <c r="C234" i="17" s="1"/>
  <c r="C234" i="18" a="1"/>
  <c r="C234" i="18" s="1"/>
  <c r="C234" i="19" a="1"/>
  <c r="C234" i="19" s="1"/>
  <c r="C234" i="22" a="1"/>
  <c r="C234" i="22" s="1"/>
  <c r="C234" i="58" a="1"/>
  <c r="C234" i="58" s="1"/>
  <c r="C161" i="53" a="1"/>
  <c r="C161" i="53" s="1"/>
  <c r="C223" i="63" a="1"/>
  <c r="C223" i="63" s="1"/>
  <c r="C223" i="49" a="1"/>
  <c r="C223" i="49" s="1"/>
  <c r="C223" i="7" a="1"/>
  <c r="C223" i="7" s="1"/>
  <c r="C223" i="50" a="1"/>
  <c r="C223" i="50" s="1"/>
  <c r="C223" i="17" a="1"/>
  <c r="C223" i="17" s="1"/>
  <c r="C223" i="18" a="1"/>
  <c r="C223" i="18" s="1"/>
  <c r="C223" i="19" a="1"/>
  <c r="C223" i="19" s="1"/>
  <c r="C223" i="22" a="1"/>
  <c r="C223" i="22"/>
  <c r="C223" i="58" a="1"/>
  <c r="C223" i="58" s="1"/>
  <c r="C168" i="53" a="1"/>
  <c r="C168" i="53" s="1"/>
  <c r="C230" i="63" a="1"/>
  <c r="C230" i="63" s="1"/>
  <c r="C230" i="49" a="1"/>
  <c r="C230" i="49" s="1"/>
  <c r="C230" i="7" a="1"/>
  <c r="C230" i="7" s="1"/>
  <c r="C230" i="50" a="1"/>
  <c r="C230" i="50" s="1"/>
  <c r="C230" i="17" a="1"/>
  <c r="C230" i="17" s="1"/>
  <c r="C230" i="18" a="1"/>
  <c r="C230" i="18" s="1"/>
  <c r="C230" i="19" a="1"/>
  <c r="C230" i="19" s="1"/>
  <c r="C230" i="22" a="1"/>
  <c r="C230" i="22" s="1"/>
  <c r="C230" i="58" a="1"/>
  <c r="C230" i="58" s="1"/>
  <c r="C167" i="53" a="1"/>
  <c r="C167" i="53" s="1"/>
  <c r="C229" i="63" a="1"/>
  <c r="C229" i="63" s="1"/>
  <c r="C229" i="49" a="1"/>
  <c r="C229" i="49" s="1"/>
  <c r="C229" i="7" a="1"/>
  <c r="C229" i="7" s="1"/>
  <c r="C229" i="50" a="1"/>
  <c r="C229" i="50" s="1"/>
  <c r="C229" i="17" a="1"/>
  <c r="C229" i="17" s="1"/>
  <c r="C229" i="18" a="1"/>
  <c r="C229" i="18"/>
  <c r="C229" i="19" a="1"/>
  <c r="C229" i="19" s="1"/>
  <c r="C229" i="22" a="1"/>
  <c r="C229" i="22" s="1"/>
  <c r="C229" i="58" a="1"/>
  <c r="C229" i="58" s="1"/>
  <c r="C166" i="53" a="1"/>
  <c r="C166" i="53" s="1"/>
  <c r="C228" i="63" a="1"/>
  <c r="C228" i="63" s="1"/>
  <c r="C228" i="49" a="1"/>
  <c r="C228" i="49" s="1"/>
  <c r="C228" i="7" a="1"/>
  <c r="C228" i="7" s="1"/>
  <c r="C228" i="50" a="1"/>
  <c r="C228" i="50"/>
  <c r="C228" i="17" a="1"/>
  <c r="C228" i="17" s="1"/>
  <c r="C228" i="18" a="1"/>
  <c r="C228" i="18" s="1"/>
  <c r="C228" i="19" a="1"/>
  <c r="C228" i="19" s="1"/>
  <c r="C228" i="22" a="1"/>
  <c r="C228" i="22" s="1"/>
  <c r="C228" i="58" a="1"/>
  <c r="C228" i="58"/>
  <c r="C165" i="53" a="1"/>
  <c r="C165" i="53" s="1"/>
  <c r="C227" i="63" a="1"/>
  <c r="C227" i="63" s="1"/>
  <c r="C227" i="49" a="1"/>
  <c r="C227" i="49" s="1"/>
  <c r="C227" i="7" a="1"/>
  <c r="C227" i="7" s="1"/>
  <c r="C227" i="50" a="1"/>
  <c r="C227" i="50" s="1"/>
  <c r="C227" i="17" a="1"/>
  <c r="C227" i="17" s="1"/>
  <c r="C227" i="18" a="1"/>
  <c r="C227" i="18" s="1"/>
  <c r="C227" i="19" a="1"/>
  <c r="C227" i="19" s="1"/>
  <c r="C227" i="22" a="1"/>
  <c r="C227" i="22" s="1"/>
  <c r="C227" i="58" a="1"/>
  <c r="C227" i="58" s="1"/>
  <c r="C164" i="53" a="1"/>
  <c r="C164" i="53" s="1"/>
  <c r="C226" i="63" a="1"/>
  <c r="C226" i="63" s="1"/>
  <c r="C226" i="49" a="1"/>
  <c r="C226" i="49" s="1"/>
  <c r="C226" i="7" a="1"/>
  <c r="C226" i="7" s="1"/>
  <c r="C226" i="50" a="1"/>
  <c r="C226" i="50" s="1"/>
  <c r="C226" i="17" a="1"/>
  <c r="C226" i="17" s="1"/>
  <c r="C226" i="18" a="1"/>
  <c r="C226" i="18" s="1"/>
  <c r="C226" i="19" a="1"/>
  <c r="C226" i="19" s="1"/>
  <c r="C226" i="22" a="1"/>
  <c r="C226" i="22"/>
  <c r="C226" i="58" a="1"/>
  <c r="C226" i="58" s="1"/>
  <c r="C163" i="53" a="1"/>
  <c r="C163" i="53" s="1"/>
  <c r="C225" i="63" a="1"/>
  <c r="C225" i="63" s="1"/>
  <c r="C225" i="49" a="1"/>
  <c r="C225" i="49" s="1"/>
  <c r="C225" i="7" a="1"/>
  <c r="C225" i="7" s="1"/>
  <c r="C225" i="50" a="1"/>
  <c r="C225" i="50" s="1"/>
  <c r="C225" i="17" a="1"/>
  <c r="C225" i="17" s="1"/>
  <c r="C225" i="18" a="1"/>
  <c r="C225" i="18" s="1"/>
  <c r="C225" i="19" a="1"/>
  <c r="C225" i="19" s="1"/>
  <c r="C225" i="22" a="1"/>
  <c r="C225" i="22" s="1"/>
  <c r="C225" i="58" a="1"/>
  <c r="C225" i="58"/>
  <c r="C169" i="53" a="1"/>
  <c r="C169" i="53" s="1"/>
  <c r="C231" i="63" a="1"/>
  <c r="C231" i="63" s="1"/>
  <c r="C231" i="49" a="1"/>
  <c r="C231" i="49" s="1"/>
  <c r="C231" i="7" a="1"/>
  <c r="C231" i="7" s="1"/>
  <c r="C231" i="50" a="1"/>
  <c r="C231" i="50" s="1"/>
  <c r="C231" i="17" a="1"/>
  <c r="C231" i="17" s="1"/>
  <c r="C231" i="18" a="1"/>
  <c r="C231" i="18" s="1"/>
  <c r="C231" i="19" a="1"/>
  <c r="C231" i="19" s="1"/>
  <c r="C231" i="22" a="1"/>
  <c r="C231" i="22" s="1"/>
  <c r="C231" i="58" a="1"/>
  <c r="C231" i="58" s="1"/>
  <c r="C158" i="53" a="1"/>
  <c r="C158" i="53" s="1"/>
  <c r="C220" i="63" a="1"/>
  <c r="C220" i="63" s="1"/>
  <c r="C220" i="49" a="1"/>
  <c r="C220" i="49" s="1"/>
  <c r="C220" i="7" a="1"/>
  <c r="C220" i="7" s="1"/>
  <c r="C220" i="50" a="1"/>
  <c r="C220" i="50" s="1"/>
  <c r="C220" i="17" a="1"/>
  <c r="C220" i="17" s="1"/>
  <c r="C220" i="18" a="1"/>
  <c r="C220" i="18" s="1"/>
  <c r="C220" i="19" a="1"/>
  <c r="C220" i="19" s="1"/>
  <c r="C220" i="22" a="1"/>
  <c r="C220" i="22" s="1"/>
  <c r="C220" i="58" a="1"/>
  <c r="C220" i="58"/>
  <c r="C157" i="53" a="1"/>
  <c r="C157" i="53" s="1"/>
  <c r="C219" i="63" a="1"/>
  <c r="C219" i="63" s="1"/>
  <c r="C219" i="49" a="1"/>
  <c r="C219" i="49" s="1"/>
  <c r="C219" i="7" a="1"/>
  <c r="C219" i="7" s="1"/>
  <c r="C219" i="50" a="1"/>
  <c r="C219" i="50" s="1"/>
  <c r="C219" i="17" a="1"/>
  <c r="C219" i="17" s="1"/>
  <c r="C219" i="18" a="1"/>
  <c r="C219" i="18" s="1"/>
  <c r="C219" i="19" a="1"/>
  <c r="C219" i="19" s="1"/>
  <c r="C219" i="22" a="1"/>
  <c r="C219" i="22" s="1"/>
  <c r="C219" i="58" a="1"/>
  <c r="C219" i="58" s="1"/>
  <c r="C156" i="53" a="1"/>
  <c r="C156" i="53" s="1"/>
  <c r="C218" i="63" a="1"/>
  <c r="C218" i="63" s="1"/>
  <c r="C218" i="49" a="1"/>
  <c r="C218" i="49" s="1"/>
  <c r="C218" i="7" a="1"/>
  <c r="C218" i="7" s="1"/>
  <c r="C218" i="50" a="1"/>
  <c r="C218" i="50"/>
  <c r="C218" i="17" a="1"/>
  <c r="C218" i="17" s="1"/>
  <c r="C218" i="18" a="1"/>
  <c r="C218" i="18" s="1"/>
  <c r="C218" i="19" a="1"/>
  <c r="C218" i="19" s="1"/>
  <c r="C218" i="22" a="1"/>
  <c r="C218" i="22" s="1"/>
  <c r="C218" i="58" a="1"/>
  <c r="C218" i="58"/>
  <c r="C155" i="53" a="1"/>
  <c r="C155" i="53" s="1"/>
  <c r="C217" i="63" a="1"/>
  <c r="C217" i="63" s="1"/>
  <c r="C217" i="49" a="1"/>
  <c r="C217" i="49" s="1"/>
  <c r="C217" i="7" a="1"/>
  <c r="C217" i="7" s="1"/>
  <c r="C217" i="50" a="1"/>
  <c r="C217" i="50" s="1"/>
  <c r="C217" i="17" a="1"/>
  <c r="C217" i="17" s="1"/>
  <c r="C217" i="18" a="1"/>
  <c r="C217" i="18" s="1"/>
  <c r="C217" i="19" a="1"/>
  <c r="C217" i="19" s="1"/>
  <c r="C217" i="22" a="1"/>
  <c r="C217" i="22" s="1"/>
  <c r="C217" i="58" a="1"/>
  <c r="C217" i="58" s="1"/>
  <c r="C154" i="53" a="1"/>
  <c r="C154" i="53" s="1"/>
  <c r="C216" i="63" a="1"/>
  <c r="C216" i="63" s="1"/>
  <c r="C216" i="49" a="1"/>
  <c r="C216" i="49" s="1"/>
  <c r="C216" i="7" a="1"/>
  <c r="C216" i="7" s="1"/>
  <c r="C216" i="50" a="1"/>
  <c r="C216" i="50" s="1"/>
  <c r="C216" i="17" a="1"/>
  <c r="C216" i="17" s="1"/>
  <c r="C216" i="18" a="1"/>
  <c r="C216" i="18" s="1"/>
  <c r="C216" i="19" a="1"/>
  <c r="C216" i="19" s="1"/>
  <c r="C216" i="22" a="1"/>
  <c r="C216" i="22"/>
  <c r="C216" i="58" a="1"/>
  <c r="C216" i="58" s="1"/>
  <c r="C153" i="53" a="1"/>
  <c r="C153" i="53" s="1"/>
  <c r="C215" i="63" a="1"/>
  <c r="C215" i="63" s="1"/>
  <c r="C215" i="49" a="1"/>
  <c r="C215" i="49" s="1"/>
  <c r="C215" i="7" a="1"/>
  <c r="C215" i="7" s="1"/>
  <c r="C215" i="50" a="1"/>
  <c r="C215" i="50" s="1"/>
  <c r="C215" i="17" a="1"/>
  <c r="C215" i="17" s="1"/>
  <c r="C215" i="18" a="1"/>
  <c r="C215" i="18" s="1"/>
  <c r="C215" i="19" a="1"/>
  <c r="C215" i="19" s="1"/>
  <c r="C215" i="22" a="1"/>
  <c r="C215" i="22" s="1"/>
  <c r="C215" i="58" a="1"/>
  <c r="C215" i="58"/>
  <c r="C152" i="53" a="1"/>
  <c r="C152" i="53" s="1"/>
  <c r="C214" i="63" a="1"/>
  <c r="C214" i="63"/>
  <c r="C214" i="49" a="1"/>
  <c r="C214" i="49" s="1"/>
  <c r="C214" i="7" a="1"/>
  <c r="C214" i="7" s="1"/>
  <c r="C214" i="50" a="1"/>
  <c r="C214" i="50" s="1"/>
  <c r="C214" i="17" a="1"/>
  <c r="C214" i="17" s="1"/>
  <c r="C214" i="18" a="1"/>
  <c r="C214" i="18"/>
  <c r="C214" i="19" a="1"/>
  <c r="C214" i="19" s="1"/>
  <c r="C214" i="22" a="1"/>
  <c r="C214" i="22" s="1"/>
  <c r="C214" i="58" a="1"/>
  <c r="C214" i="58" s="1"/>
  <c r="C151" i="53" a="1"/>
  <c r="C151" i="53" s="1"/>
  <c r="C213" i="63" a="1"/>
  <c r="C213" i="63" s="1"/>
  <c r="C213" i="49" a="1"/>
  <c r="C213" i="49" s="1"/>
  <c r="C213" i="7" a="1"/>
  <c r="C213" i="7" s="1"/>
  <c r="C213" i="50" a="1"/>
  <c r="C213" i="50" s="1"/>
  <c r="C213" i="17" a="1"/>
  <c r="C213" i="17" s="1"/>
  <c r="C213" i="18" a="1"/>
  <c r="C213" i="18" s="1"/>
  <c r="C213" i="19" a="1"/>
  <c r="C213" i="19" s="1"/>
  <c r="C213" i="22" a="1"/>
  <c r="C213" i="22"/>
  <c r="C213" i="58" a="1"/>
  <c r="C213" i="58" s="1"/>
  <c r="C150" i="53" a="1"/>
  <c r="C150" i="53" s="1"/>
  <c r="C212" i="63" a="1"/>
  <c r="C212" i="63" s="1"/>
  <c r="C212" i="49" a="1"/>
  <c r="C212" i="49" s="1"/>
  <c r="C212" i="7" a="1"/>
  <c r="C212" i="7" s="1"/>
  <c r="C212" i="50" a="1"/>
  <c r="C212" i="50"/>
  <c r="C212" i="17" a="1"/>
  <c r="C212" i="17" s="1"/>
  <c r="C212" i="19" a="1"/>
  <c r="C212" i="19" s="1"/>
  <c r="C212" i="22" a="1"/>
  <c r="C212" i="22" s="1"/>
  <c r="C212" i="58" a="1"/>
  <c r="C212" i="58"/>
  <c r="C139" i="53" a="1"/>
  <c r="C139" i="53" s="1"/>
  <c r="C201" i="63" a="1"/>
  <c r="C201" i="63" s="1"/>
  <c r="C201" i="49" a="1"/>
  <c r="C201" i="49" s="1"/>
  <c r="C201" i="7" a="1"/>
  <c r="C201" i="7" s="1"/>
  <c r="C201" i="50" a="1"/>
  <c r="C201" i="50" s="1"/>
  <c r="C201" i="17" a="1"/>
  <c r="C201" i="17" s="1"/>
  <c r="C201" i="18" a="1"/>
  <c r="C201" i="18" s="1"/>
  <c r="C201" i="19" a="1"/>
  <c r="C201" i="19" s="1"/>
  <c r="C201" i="22" a="1"/>
  <c r="C201" i="22" s="1"/>
  <c r="C201" i="58" a="1"/>
  <c r="C201" i="58" s="1"/>
  <c r="C147" i="53" a="1"/>
  <c r="C147" i="53" s="1"/>
  <c r="C209" i="63" a="1"/>
  <c r="C209" i="63" s="1"/>
  <c r="C209" i="49" a="1"/>
  <c r="C209" i="49" s="1"/>
  <c r="C209" i="7" a="1"/>
  <c r="C209" i="7" s="1"/>
  <c r="C209" i="50" a="1"/>
  <c r="C209" i="50" s="1"/>
  <c r="C209" i="17" a="1"/>
  <c r="C209" i="17" s="1"/>
  <c r="C209" i="18" a="1"/>
  <c r="C209" i="18" s="1"/>
  <c r="C209" i="19" a="1"/>
  <c r="C209" i="19" s="1"/>
  <c r="C209" i="22" a="1"/>
  <c r="C209" i="22" s="1"/>
  <c r="C209" i="58" a="1"/>
  <c r="C209" i="58" s="1"/>
  <c r="C146" i="53" a="1"/>
  <c r="C146" i="53" s="1"/>
  <c r="C208" i="63" a="1"/>
  <c r="C208" i="63" s="1"/>
  <c r="C208" i="49" a="1"/>
  <c r="C208" i="49" s="1"/>
  <c r="C208" i="7" a="1"/>
  <c r="C208" i="7" s="1"/>
  <c r="C208" i="50" a="1"/>
  <c r="C208" i="50" s="1"/>
  <c r="C208" i="17" a="1"/>
  <c r="C208" i="17" s="1"/>
  <c r="C208" i="18" a="1"/>
  <c r="C208" i="18" s="1"/>
  <c r="C208" i="19" a="1"/>
  <c r="C208" i="19" s="1"/>
  <c r="C208" i="22" a="1"/>
  <c r="C208" i="22"/>
  <c r="C208" i="58" a="1"/>
  <c r="C208" i="58" s="1"/>
  <c r="C145" i="53" a="1"/>
  <c r="C145" i="53" s="1"/>
  <c r="C207" i="63" a="1"/>
  <c r="C207" i="63" s="1"/>
  <c r="C207" i="49" a="1"/>
  <c r="C207" i="49" s="1"/>
  <c r="C207" i="7" a="1"/>
  <c r="C207" i="7" s="1"/>
  <c r="C207" i="50" a="1"/>
  <c r="C207" i="50" s="1"/>
  <c r="C207" i="17" a="1"/>
  <c r="C207" i="17" s="1"/>
  <c r="C207" i="18" a="1"/>
  <c r="C207" i="18" s="1"/>
  <c r="C207" i="19" a="1"/>
  <c r="C207" i="19" s="1"/>
  <c r="C207" i="22" a="1"/>
  <c r="C207" i="22" s="1"/>
  <c r="C207" i="58" a="1"/>
  <c r="C207" i="58" s="1"/>
  <c r="C144" i="53" a="1"/>
  <c r="C144" i="53" s="1"/>
  <c r="C206" i="63" a="1"/>
  <c r="C206" i="63" s="1"/>
  <c r="C206" i="49" a="1"/>
  <c r="C206" i="49" s="1"/>
  <c r="C206" i="7" a="1"/>
  <c r="C206" i="7" s="1"/>
  <c r="C206" i="50" a="1"/>
  <c r="C206" i="50" s="1"/>
  <c r="C206" i="17" a="1"/>
  <c r="C206" i="17" s="1"/>
  <c r="C206" i="18" a="1"/>
  <c r="C206" i="18" s="1"/>
  <c r="C206" i="19" a="1"/>
  <c r="C206" i="19" s="1"/>
  <c r="C206" i="22" a="1"/>
  <c r="C206" i="22"/>
  <c r="C206" i="58" a="1"/>
  <c r="C206" i="58" s="1"/>
  <c r="C143" i="53" a="1"/>
  <c r="C143" i="53" s="1"/>
  <c r="C205" i="63" a="1"/>
  <c r="C205" i="63" s="1"/>
  <c r="C205" i="49" a="1"/>
  <c r="C205" i="49" s="1"/>
  <c r="C205" i="7" a="1"/>
  <c r="C205" i="7" s="1"/>
  <c r="C205" i="50" a="1"/>
  <c r="C205" i="50" s="1"/>
  <c r="C205" i="17" a="1"/>
  <c r="C205" i="17" s="1"/>
  <c r="C205" i="18" a="1"/>
  <c r="C205" i="18" s="1"/>
  <c r="C205" i="19" a="1"/>
  <c r="C205" i="19" s="1"/>
  <c r="C205" i="22" a="1"/>
  <c r="C205" i="22" s="1"/>
  <c r="C205" i="58" a="1"/>
  <c r="C205" i="58" s="1"/>
  <c r="C142" i="53" a="1"/>
  <c r="C142" i="53" s="1"/>
  <c r="C204" i="63" a="1"/>
  <c r="C204" i="63" s="1"/>
  <c r="C204" i="49" a="1"/>
  <c r="C204" i="49" s="1"/>
  <c r="C204" i="7" a="1"/>
  <c r="C204" i="7" s="1"/>
  <c r="C204" i="50" a="1"/>
  <c r="C204" i="50" s="1"/>
  <c r="C204" i="17" a="1"/>
  <c r="C204" i="17" s="1"/>
  <c r="C204" i="18" a="1"/>
  <c r="C204" i="18" s="1"/>
  <c r="C204" i="19" a="1"/>
  <c r="C204" i="19"/>
  <c r="C204" i="22" a="1"/>
  <c r="C204" i="22" s="1"/>
  <c r="C204" i="58" a="1"/>
  <c r="C204" i="58" s="1"/>
  <c r="C141" i="53" a="1"/>
  <c r="C141" i="53" s="1"/>
  <c r="C203" i="63" a="1"/>
  <c r="C203" i="63" s="1"/>
  <c r="C203" i="49" a="1"/>
  <c r="C203" i="49" s="1"/>
  <c r="C203" i="7" a="1"/>
  <c r="C203" i="7" s="1"/>
  <c r="C203" i="50" a="1"/>
  <c r="C203" i="50" s="1"/>
  <c r="C203" i="17" a="1"/>
  <c r="C203" i="17" s="1"/>
  <c r="C203" i="18" a="1"/>
  <c r="C203" i="18" s="1"/>
  <c r="C203" i="19" a="1"/>
  <c r="C203" i="19" s="1"/>
  <c r="C203" i="22" a="1"/>
  <c r="C203" i="22" s="1"/>
  <c r="C203" i="58" a="1"/>
  <c r="C203" i="58" s="1"/>
  <c r="C140" i="53" a="1"/>
  <c r="C140" i="53" s="1"/>
  <c r="C202" i="63" a="1"/>
  <c r="C202" i="63" s="1"/>
  <c r="C202" i="49" a="1"/>
  <c r="C202" i="49" s="1"/>
  <c r="C202" i="7" a="1"/>
  <c r="C202" i="7" s="1"/>
  <c r="C202" i="50" a="1"/>
  <c r="C202" i="50" s="1"/>
  <c r="C202" i="17" a="1"/>
  <c r="C202" i="17" s="1"/>
  <c r="C202" i="18" a="1"/>
  <c r="C202" i="18" s="1"/>
  <c r="C202" i="19" a="1"/>
  <c r="C202" i="19" s="1"/>
  <c r="C202" i="22" a="1"/>
  <c r="C202" i="22" s="1"/>
  <c r="C202" i="58" a="1"/>
  <c r="C202" i="58"/>
  <c r="C136" i="53" a="1"/>
  <c r="C136" i="53" s="1"/>
  <c r="C198" i="63" a="1"/>
  <c r="C198" i="63" s="1"/>
  <c r="C198" i="49" a="1"/>
  <c r="C198" i="49" s="1"/>
  <c r="C198" i="7" a="1"/>
  <c r="C198" i="7" s="1"/>
  <c r="C198" i="50" a="1"/>
  <c r="C198" i="50" s="1"/>
  <c r="C198" i="17" a="1"/>
  <c r="C198" i="17" s="1"/>
  <c r="C198" i="18" a="1"/>
  <c r="C198" i="18" s="1"/>
  <c r="C198" i="19" a="1"/>
  <c r="C198" i="19" s="1"/>
  <c r="C198" i="22" a="1"/>
  <c r="C198" i="22" s="1"/>
  <c r="C198" i="58" a="1"/>
  <c r="C198" i="58" s="1"/>
  <c r="C135" i="53" a="1"/>
  <c r="C135" i="53" s="1"/>
  <c r="C197" i="63" a="1"/>
  <c r="C197" i="63" s="1"/>
  <c r="C197" i="49" a="1"/>
  <c r="C197" i="49" s="1"/>
  <c r="C197" i="7" a="1"/>
  <c r="C197" i="7" s="1"/>
  <c r="C197" i="50" a="1"/>
  <c r="C197" i="50" s="1"/>
  <c r="C197" i="17" a="1"/>
  <c r="C197" i="17" s="1"/>
  <c r="C197" i="18" a="1"/>
  <c r="C197" i="18" s="1"/>
  <c r="C197" i="19" a="1"/>
  <c r="C197" i="19" s="1"/>
  <c r="C197" i="22" a="1"/>
  <c r="C197" i="22" s="1"/>
  <c r="C197" i="58" a="1"/>
  <c r="C197" i="58" s="1"/>
  <c r="C134" i="53" a="1"/>
  <c r="C134" i="53" s="1"/>
  <c r="C196" i="63" a="1"/>
  <c r="C196" i="63" s="1"/>
  <c r="C196" i="49" a="1"/>
  <c r="C196" i="49" s="1"/>
  <c r="C196" i="7" a="1"/>
  <c r="C196" i="7" s="1"/>
  <c r="C196" i="50" a="1"/>
  <c r="C196" i="50" s="1"/>
  <c r="C196" i="17" a="1"/>
  <c r="C196" i="17" s="1"/>
  <c r="C196" i="18" a="1"/>
  <c r="C196" i="18" s="1"/>
  <c r="C196" i="19" a="1"/>
  <c r="C196" i="19" s="1"/>
  <c r="C196" i="22" a="1"/>
  <c r="C196" i="22"/>
  <c r="C196" i="58" a="1"/>
  <c r="C196" i="58" s="1"/>
  <c r="C133" i="53" a="1"/>
  <c r="C133" i="53" s="1"/>
  <c r="C195" i="63" a="1"/>
  <c r="C195" i="63" s="1"/>
  <c r="C195" i="49" a="1"/>
  <c r="C195" i="49" s="1"/>
  <c r="C195" i="7" a="1"/>
  <c r="C195" i="7" s="1"/>
  <c r="C195" i="50" a="1"/>
  <c r="C195" i="50" s="1"/>
  <c r="C195" i="17" a="1"/>
  <c r="C195" i="17" s="1"/>
  <c r="C195" i="18" a="1"/>
  <c r="C195" i="18" s="1"/>
  <c r="C195" i="19" a="1"/>
  <c r="C195" i="19" s="1"/>
  <c r="C195" i="22" a="1"/>
  <c r="C195" i="22" s="1"/>
  <c r="C195" i="58" a="1"/>
  <c r="C195" i="58" s="1"/>
  <c r="C132" i="53" a="1"/>
  <c r="C132" i="53" s="1"/>
  <c r="C194" i="63" a="1"/>
  <c r="C194" i="63" s="1"/>
  <c r="C194" i="49" a="1"/>
  <c r="C194" i="49" s="1"/>
  <c r="C194" i="7" a="1"/>
  <c r="C194" i="7" s="1"/>
  <c r="C194" i="50" a="1"/>
  <c r="C194" i="50" s="1"/>
  <c r="C194" i="17" a="1"/>
  <c r="C194" i="17" s="1"/>
  <c r="C194" i="18" a="1"/>
  <c r="C194" i="18" s="1"/>
  <c r="C194" i="19" a="1"/>
  <c r="C194" i="19" s="1"/>
  <c r="C194" i="22" a="1"/>
  <c r="C194" i="22" s="1"/>
  <c r="C194" i="58" a="1"/>
  <c r="C194" i="58" s="1"/>
  <c r="C131" i="53" a="1"/>
  <c r="C131" i="53" s="1"/>
  <c r="C193" i="63" a="1"/>
  <c r="C193" i="63" s="1"/>
  <c r="C193" i="49" a="1"/>
  <c r="C193" i="49" s="1"/>
  <c r="C193" i="7" a="1"/>
  <c r="C193" i="7" s="1"/>
  <c r="C193" i="50" a="1"/>
  <c r="C193" i="50" s="1"/>
  <c r="C193" i="17" a="1"/>
  <c r="C193" i="17" s="1"/>
  <c r="C193" i="18" a="1"/>
  <c r="C193" i="18" s="1"/>
  <c r="C193" i="19" a="1"/>
  <c r="C193" i="19" s="1"/>
  <c r="C193" i="22" a="1"/>
  <c r="C193" i="22" s="1"/>
  <c r="C193" i="58" a="1"/>
  <c r="C193" i="58" s="1"/>
  <c r="C130" i="53" a="1"/>
  <c r="C130" i="53" s="1"/>
  <c r="C192" i="63" a="1"/>
  <c r="C192" i="63" s="1"/>
  <c r="C192" i="49" a="1"/>
  <c r="C192" i="49" s="1"/>
  <c r="C192" i="7" a="1"/>
  <c r="C192" i="7" s="1"/>
  <c r="C192" i="50" a="1"/>
  <c r="C192" i="50"/>
  <c r="C192" i="17" a="1"/>
  <c r="C192" i="17" s="1"/>
  <c r="C192" i="18" a="1"/>
  <c r="C192" i="18" s="1"/>
  <c r="C192" i="19" a="1"/>
  <c r="C192" i="19" s="1"/>
  <c r="C192" i="22" a="1"/>
  <c r="C192" i="22"/>
  <c r="C192" i="58" a="1"/>
  <c r="C192" i="58" s="1"/>
  <c r="C129" i="53" a="1"/>
  <c r="C129" i="53" s="1"/>
  <c r="C191" i="63" a="1"/>
  <c r="C191" i="63" s="1"/>
  <c r="C191" i="49" a="1"/>
  <c r="C191" i="49" s="1"/>
  <c r="C191" i="7" a="1"/>
  <c r="C191" i="7" s="1"/>
  <c r="C191" i="50" a="1"/>
  <c r="C191" i="50" s="1"/>
  <c r="C191" i="17" a="1"/>
  <c r="C191" i="17" s="1"/>
  <c r="C191" i="18" a="1"/>
  <c r="C191" i="18" s="1"/>
  <c r="C191" i="19" a="1"/>
  <c r="C191" i="19" s="1"/>
  <c r="C191" i="22" a="1"/>
  <c r="C191" i="22" s="1"/>
  <c r="C191" i="58" a="1"/>
  <c r="C191" i="58" s="1"/>
  <c r="C128" i="53" a="1"/>
  <c r="C128" i="53" s="1"/>
  <c r="C190" i="63" a="1"/>
  <c r="C190" i="63" s="1"/>
  <c r="C190" i="49" a="1"/>
  <c r="C190" i="49" s="1"/>
  <c r="C190" i="7" a="1"/>
  <c r="C190" i="7" s="1"/>
  <c r="C190" i="50" a="1"/>
  <c r="C190" i="50" s="1"/>
  <c r="C190" i="17" a="1"/>
  <c r="C190" i="17" s="1"/>
  <c r="C190" i="18" a="1"/>
  <c r="C190" i="18" s="1"/>
  <c r="C190" i="19" a="1"/>
  <c r="C190" i="19" s="1"/>
  <c r="C190" i="22" a="1"/>
  <c r="C190" i="22" s="1"/>
  <c r="C190" i="58" a="1"/>
  <c r="C190" i="58" s="1"/>
  <c r="C125" i="53" a="1"/>
  <c r="C125" i="53" s="1"/>
  <c r="C187" i="63" a="1"/>
  <c r="C187" i="63" s="1"/>
  <c r="C187" i="49" a="1"/>
  <c r="C187" i="49" s="1"/>
  <c r="C187" i="7" a="1"/>
  <c r="C187" i="7" s="1"/>
  <c r="C187" i="50" a="1"/>
  <c r="C187" i="50"/>
  <c r="C187" i="17" a="1"/>
  <c r="C187" i="17" s="1"/>
  <c r="C187" i="18" a="1"/>
  <c r="C187" i="18" s="1"/>
  <c r="C187" i="19" a="1"/>
  <c r="C187" i="19" s="1"/>
  <c r="C187" i="22" a="1"/>
  <c r="C187" i="22" s="1"/>
  <c r="C187" i="58" a="1"/>
  <c r="C187" i="58"/>
  <c r="C124" i="53" a="1"/>
  <c r="C124" i="53" s="1"/>
  <c r="C186" i="63" a="1"/>
  <c r="C186" i="63" s="1"/>
  <c r="C186" i="49" a="1"/>
  <c r="C186" i="49" s="1"/>
  <c r="C186" i="7" a="1"/>
  <c r="C186" i="7" s="1"/>
  <c r="C186" i="50" a="1"/>
  <c r="C186" i="50"/>
  <c r="C186" i="17" a="1"/>
  <c r="C186" i="17" s="1"/>
  <c r="C186" i="18" a="1"/>
  <c r="C186" i="18" s="1"/>
  <c r="C186" i="19" a="1"/>
  <c r="C186" i="19" s="1"/>
  <c r="C186" i="22" a="1"/>
  <c r="C186" i="22" s="1"/>
  <c r="C186" i="58" a="1"/>
  <c r="C186" i="58"/>
  <c r="C123" i="53" a="1"/>
  <c r="C123" i="53" s="1"/>
  <c r="C185" i="63" a="1"/>
  <c r="C185" i="63" s="1"/>
  <c r="C185" i="49" a="1"/>
  <c r="C185" i="49" s="1"/>
  <c r="C185" i="7" a="1"/>
  <c r="C185" i="7" s="1"/>
  <c r="C185" i="50" a="1"/>
  <c r="C185" i="50" s="1"/>
  <c r="C185" i="17" a="1"/>
  <c r="C185" i="17" s="1"/>
  <c r="C185" i="18" a="1"/>
  <c r="C185" i="18" s="1"/>
  <c r="C185" i="19" a="1"/>
  <c r="C185" i="19" s="1"/>
  <c r="C185" i="22" a="1"/>
  <c r="C185" i="22" s="1"/>
  <c r="C185" i="58" a="1"/>
  <c r="C185" i="58"/>
  <c r="C122" i="53" a="1"/>
  <c r="C122" i="53" s="1"/>
  <c r="C184" i="63" a="1"/>
  <c r="C184" i="63" s="1"/>
  <c r="C184" i="49" a="1"/>
  <c r="C184" i="49" s="1"/>
  <c r="C184" i="7" a="1"/>
  <c r="C184" i="7" s="1"/>
  <c r="C184" i="50" a="1"/>
  <c r="C184" i="50" s="1"/>
  <c r="C184" i="17" a="1"/>
  <c r="C184" i="17" s="1"/>
  <c r="C184" i="18" a="1"/>
  <c r="C184" i="18" s="1"/>
  <c r="C184" i="19" a="1"/>
  <c r="C184" i="19" s="1"/>
  <c r="C184" i="22" a="1"/>
  <c r="C184" i="22" s="1"/>
  <c r="C184" i="58" a="1"/>
  <c r="C184" i="58" s="1"/>
  <c r="C121" i="53" a="1"/>
  <c r="C121" i="53" s="1"/>
  <c r="C183" i="63" a="1"/>
  <c r="C183" i="63" s="1"/>
  <c r="C183" i="49" a="1"/>
  <c r="C183" i="49" s="1"/>
  <c r="C183" i="7" a="1"/>
  <c r="C183" i="7" s="1"/>
  <c r="C183" i="50" a="1"/>
  <c r="C183" i="50" s="1"/>
  <c r="C183" i="17" a="1"/>
  <c r="C183" i="17" s="1"/>
  <c r="C183" i="18" a="1"/>
  <c r="C183" i="18" s="1"/>
  <c r="C183" i="19" a="1"/>
  <c r="C183" i="19" s="1"/>
  <c r="C183" i="22" a="1"/>
  <c r="C183" i="22" s="1"/>
  <c r="C183" i="58" a="1"/>
  <c r="C183" i="58" s="1"/>
  <c r="C120" i="53" a="1"/>
  <c r="C120" i="53" s="1"/>
  <c r="C182" i="63" a="1"/>
  <c r="C182" i="63" s="1"/>
  <c r="C182" i="49" a="1"/>
  <c r="C182" i="49" s="1"/>
  <c r="C182" i="7" a="1"/>
  <c r="C182" i="7" s="1"/>
  <c r="C182" i="50" a="1"/>
  <c r="C182" i="50" s="1"/>
  <c r="C182" i="17" a="1"/>
  <c r="C182" i="17" s="1"/>
  <c r="C182" i="18" a="1"/>
  <c r="C182" i="18" s="1"/>
  <c r="C182" i="19" a="1"/>
  <c r="C182" i="19" s="1"/>
  <c r="C182" i="22" a="1"/>
  <c r="C182" i="22" s="1"/>
  <c r="C182" i="58" a="1"/>
  <c r="C182" i="58" s="1"/>
  <c r="C119" i="53" a="1"/>
  <c r="C119" i="53" s="1"/>
  <c r="C181" i="63" a="1"/>
  <c r="C181" i="63" s="1"/>
  <c r="C181" i="49" a="1"/>
  <c r="C181" i="49" s="1"/>
  <c r="C181" i="7" a="1"/>
  <c r="C181" i="7" s="1"/>
  <c r="C181" i="50" a="1"/>
  <c r="C181" i="50" s="1"/>
  <c r="C181" i="17" a="1"/>
  <c r="C181" i="17" s="1"/>
  <c r="C181" i="18" a="1"/>
  <c r="C181" i="18" s="1"/>
  <c r="C181" i="19" a="1"/>
  <c r="C181" i="19" s="1"/>
  <c r="C181" i="22" a="1"/>
  <c r="C181" i="22" s="1"/>
  <c r="C181" i="58" a="1"/>
  <c r="C181" i="58" s="1"/>
  <c r="C118" i="53" a="1"/>
  <c r="C118" i="53" s="1"/>
  <c r="C180" i="63" a="1"/>
  <c r="C180" i="63" s="1"/>
  <c r="C180" i="49" a="1"/>
  <c r="C180" i="49" s="1"/>
  <c r="C180" i="7" a="1"/>
  <c r="C180" i="7" s="1"/>
  <c r="C180" i="50" a="1"/>
  <c r="C180" i="50"/>
  <c r="C180" i="17" a="1"/>
  <c r="C180" i="17" s="1"/>
  <c r="C180" i="18" a="1"/>
  <c r="C180" i="18" s="1"/>
  <c r="C180" i="19" a="1"/>
  <c r="C180" i="19" s="1"/>
  <c r="C180" i="22" a="1"/>
  <c r="C180" i="22"/>
  <c r="C180" i="58" a="1"/>
  <c r="C180" i="58" s="1"/>
  <c r="C117" i="53" a="1"/>
  <c r="C117" i="53" s="1"/>
  <c r="C179" i="63" a="1"/>
  <c r="C179" i="63" s="1"/>
  <c r="C179" i="49" a="1"/>
  <c r="C179" i="49" s="1"/>
  <c r="C179" i="7" a="1"/>
  <c r="C179" i="7" s="1"/>
  <c r="C179" i="50" a="1"/>
  <c r="C179" i="50" s="1"/>
  <c r="C179" i="17" a="1"/>
  <c r="C179" i="17" s="1"/>
  <c r="C179" i="18" a="1"/>
  <c r="C179" i="18" s="1"/>
  <c r="C179" i="19" a="1"/>
  <c r="C179" i="19" s="1"/>
  <c r="C179" i="22" a="1"/>
  <c r="C179" i="22" s="1"/>
  <c r="C179" i="58" a="1"/>
  <c r="C179" i="58" s="1"/>
  <c r="C108" i="53" a="1"/>
  <c r="C108" i="53" s="1"/>
  <c r="C170" i="63" a="1"/>
  <c r="C170" i="63" s="1"/>
  <c r="C170" i="49" a="1"/>
  <c r="C170" i="49" s="1"/>
  <c r="C170" i="7" a="1"/>
  <c r="C170" i="7" s="1"/>
  <c r="C170" i="50" a="1"/>
  <c r="C170" i="50" s="1"/>
  <c r="C170" i="17" a="1"/>
  <c r="C170" i="17" s="1"/>
  <c r="C170" i="18" a="1"/>
  <c r="C170" i="18" s="1"/>
  <c r="C170" i="19" a="1"/>
  <c r="C170" i="19" s="1"/>
  <c r="C170" i="22" a="1"/>
  <c r="C170" i="22"/>
  <c r="C170" i="58" a="1"/>
  <c r="C170" i="58" s="1"/>
  <c r="C107" i="53" a="1"/>
  <c r="C107" i="53" s="1"/>
  <c r="C169" i="63" a="1"/>
  <c r="C169" i="63" s="1"/>
  <c r="C169" i="49" a="1"/>
  <c r="C169" i="49" s="1"/>
  <c r="C169" i="7" a="1"/>
  <c r="C169" i="7"/>
  <c r="C169" i="50" a="1"/>
  <c r="C169" i="50" s="1"/>
  <c r="C169" i="17" a="1"/>
  <c r="C169" i="17"/>
  <c r="C169" i="18" a="1"/>
  <c r="C169" i="18" s="1"/>
  <c r="C169" i="19" a="1"/>
  <c r="C169" i="19" s="1"/>
  <c r="C169" i="22" a="1"/>
  <c r="C169" i="22" s="1"/>
  <c r="C169" i="58" a="1"/>
  <c r="C169" i="58" s="1"/>
  <c r="C114" i="53" a="1"/>
  <c r="C114" i="53" s="1"/>
  <c r="C176" i="63" a="1"/>
  <c r="C176" i="63" s="1"/>
  <c r="C176" i="49" a="1"/>
  <c r="C176" i="49" s="1"/>
  <c r="C176" i="7" a="1"/>
  <c r="C176" i="7" s="1"/>
  <c r="C176" i="50" a="1"/>
  <c r="C176" i="50"/>
  <c r="C176" i="17" a="1"/>
  <c r="C176" i="17" s="1"/>
  <c r="C176" i="18" a="1"/>
  <c r="C176" i="18" s="1"/>
  <c r="C176" i="19" a="1"/>
  <c r="C176" i="19" s="1"/>
  <c r="C176" i="22" a="1"/>
  <c r="C176" i="22"/>
  <c r="C176" i="58" a="1"/>
  <c r="C176" i="58" s="1"/>
  <c r="C113" i="53" a="1"/>
  <c r="C113" i="53" s="1"/>
  <c r="C175" i="63" a="1"/>
  <c r="C175" i="63" s="1"/>
  <c r="C175" i="49" a="1"/>
  <c r="C175" i="49" s="1"/>
  <c r="C175" i="7" a="1"/>
  <c r="C175" i="7" s="1"/>
  <c r="C175" i="50" a="1"/>
  <c r="C175" i="50" s="1"/>
  <c r="C175" i="17" a="1"/>
  <c r="C175" i="17"/>
  <c r="C175" i="18" a="1"/>
  <c r="C175" i="18" s="1"/>
  <c r="C175" i="19" a="1"/>
  <c r="C175" i="19" s="1"/>
  <c r="C175" i="22" a="1"/>
  <c r="C175" i="22" s="1"/>
  <c r="C175" i="58" a="1"/>
  <c r="C175" i="58"/>
  <c r="C112" i="53" a="1"/>
  <c r="C112" i="53" s="1"/>
  <c r="C174" i="63" a="1"/>
  <c r="C174" i="63" s="1"/>
  <c r="C174" i="49" a="1"/>
  <c r="C174" i="49" s="1"/>
  <c r="C174" i="7" a="1"/>
  <c r="C174" i="7"/>
  <c r="C174" i="50" a="1"/>
  <c r="C174" i="50" s="1"/>
  <c r="C174" i="17" a="1"/>
  <c r="C174" i="17" s="1"/>
  <c r="C174" i="18" a="1"/>
  <c r="C174" i="18" s="1"/>
  <c r="C174" i="19" a="1"/>
  <c r="C174" i="19"/>
  <c r="C174" i="22" a="1"/>
  <c r="C174" i="22" s="1"/>
  <c r="C174" i="58" a="1"/>
  <c r="C174" i="58" s="1"/>
  <c r="C111" i="53" a="1"/>
  <c r="C111" i="53" s="1"/>
  <c r="C173" i="63" a="1"/>
  <c r="C173" i="63" s="1"/>
  <c r="C173" i="49" a="1"/>
  <c r="C173" i="49" s="1"/>
  <c r="C173" i="7" a="1"/>
  <c r="C173" i="7" s="1"/>
  <c r="C173" i="50" a="1"/>
  <c r="C173" i="50" s="1"/>
  <c r="C173" i="17" a="1"/>
  <c r="C173" i="17"/>
  <c r="C173" i="18" a="1"/>
  <c r="C173" i="18" s="1"/>
  <c r="C173" i="19" a="1"/>
  <c r="C173" i="19" s="1"/>
  <c r="C173" i="22" a="1"/>
  <c r="C173" i="22" s="1"/>
  <c r="C173" i="58" a="1"/>
  <c r="C173" i="58"/>
  <c r="C110" i="53" a="1"/>
  <c r="C110" i="53" s="1"/>
  <c r="C172" i="63" a="1"/>
  <c r="C172" i="63" s="1"/>
  <c r="C172" i="49" a="1"/>
  <c r="C172" i="49" s="1"/>
  <c r="C172" i="7" a="1"/>
  <c r="C172" i="7" s="1"/>
  <c r="C172" i="50" a="1"/>
  <c r="C172" i="50"/>
  <c r="C172" i="17" a="1"/>
  <c r="C172" i="17" s="1"/>
  <c r="C172" i="18" a="1"/>
  <c r="C172" i="18" s="1"/>
  <c r="C172" i="19" a="1"/>
  <c r="C172" i="19" s="1"/>
  <c r="C172" i="22" a="1"/>
  <c r="C172" i="22" s="1"/>
  <c r="C172" i="58" a="1"/>
  <c r="C172" i="58"/>
  <c r="C109" i="53" a="1"/>
  <c r="C109" i="53"/>
  <c r="C171" i="63" a="1"/>
  <c r="C171" i="63" s="1"/>
  <c r="C171" i="49" a="1"/>
  <c r="C171" i="49" s="1"/>
  <c r="C171" i="7" a="1"/>
  <c r="C171" i="7"/>
  <c r="C171" i="50" a="1"/>
  <c r="C171" i="50"/>
  <c r="C171" i="17" a="1"/>
  <c r="C171" i="17"/>
  <c r="C171" i="18" a="1"/>
  <c r="C171" i="18" s="1"/>
  <c r="C171" i="19" a="1"/>
  <c r="C171" i="19" s="1"/>
  <c r="C171" i="22" a="1"/>
  <c r="C171" i="22" s="1"/>
  <c r="C171" i="58" a="1"/>
  <c r="C171" i="58" s="1"/>
  <c r="C106" i="53" a="1"/>
  <c r="C106" i="53" s="1"/>
  <c r="C168" i="63" a="1"/>
  <c r="C168" i="63" s="1"/>
  <c r="C168" i="49" a="1"/>
  <c r="C168" i="49" s="1"/>
  <c r="C168" i="7" a="1"/>
  <c r="C168" i="7" s="1"/>
  <c r="C168" i="50" a="1"/>
  <c r="C168" i="50" s="1"/>
  <c r="C168" i="17" a="1"/>
  <c r="C168" i="17" s="1"/>
  <c r="C168" i="18" a="1"/>
  <c r="C168" i="18" s="1"/>
  <c r="C168" i="19" a="1"/>
  <c r="C168" i="19" s="1"/>
  <c r="C168" i="22" a="1"/>
  <c r="C168" i="22" s="1"/>
  <c r="C168" i="58" a="1"/>
  <c r="C168" i="58" s="1"/>
  <c r="G210" i="65" l="1"/>
  <c r="G234" i="65"/>
  <c r="G133" i="65"/>
  <c r="C134" i="65"/>
  <c r="C177" i="65"/>
  <c r="G188" i="65"/>
  <c r="G144" i="65"/>
  <c r="C199" i="65"/>
  <c r="C232" i="65"/>
  <c r="G232" i="65"/>
  <c r="C243" i="65"/>
  <c r="G166" i="65"/>
  <c r="C155" i="65"/>
  <c r="C221" i="65"/>
  <c r="C188" i="76"/>
  <c r="G221" i="76"/>
  <c r="C232" i="76"/>
  <c r="C134" i="76"/>
  <c r="G234" i="76"/>
  <c r="C144" i="76"/>
  <c r="C166" i="76"/>
  <c r="G199" i="76"/>
  <c r="C243" i="76"/>
  <c r="G155" i="76"/>
  <c r="G177" i="76"/>
  <c r="C134" i="75"/>
  <c r="G234" i="75"/>
  <c r="C210" i="75"/>
  <c r="C166" i="75"/>
  <c r="C188" i="75"/>
  <c r="G199" i="75"/>
  <c r="G177" i="75"/>
  <c r="G155" i="75"/>
  <c r="C188" i="69"/>
  <c r="C134" i="69"/>
  <c r="G234" i="69"/>
  <c r="G155" i="69"/>
  <c r="G177" i="69"/>
  <c r="C210" i="69"/>
  <c r="C144" i="69"/>
  <c r="C166" i="69"/>
  <c r="G133" i="69"/>
  <c r="G221" i="69"/>
  <c r="C232" i="69"/>
  <c r="G199" i="69"/>
  <c r="G155" i="66"/>
  <c r="C166" i="66"/>
  <c r="C188" i="66"/>
  <c r="G177" i="66"/>
  <c r="G199" i="66"/>
  <c r="G234" i="66"/>
  <c r="C134" i="66"/>
  <c r="C144" i="66"/>
  <c r="C210" i="66"/>
  <c r="G221" i="66"/>
  <c r="C166" i="65"/>
  <c r="C144" i="65"/>
  <c r="G155" i="65"/>
  <c r="C188" i="65"/>
  <c r="C210" i="65"/>
  <c r="G221" i="65"/>
  <c r="G177" i="65"/>
  <c r="G199" i="65"/>
  <c r="C144" i="6"/>
  <c r="C188" i="6"/>
  <c r="C243" i="6"/>
  <c r="G144" i="6"/>
  <c r="G166" i="6"/>
  <c r="C199" i="6"/>
  <c r="C210" i="6"/>
  <c r="G133" i="6"/>
  <c r="G155" i="6"/>
  <c r="C166" i="6"/>
  <c r="C232" i="6"/>
  <c r="G210" i="6"/>
  <c r="C221" i="6"/>
  <c r="G232" i="6"/>
  <c r="G234" i="6"/>
  <c r="C134" i="6"/>
  <c r="C155" i="6"/>
  <c r="C177" i="6"/>
  <c r="G188" i="6"/>
  <c r="C103" i="53" l="1" a="1"/>
  <c r="C103" i="53" s="1"/>
  <c r="C165" i="63" a="1"/>
  <c r="C165" i="63" s="1"/>
  <c r="C165" i="49" a="1"/>
  <c r="C165" i="49" s="1"/>
  <c r="C165" i="7" a="1"/>
  <c r="C165" i="7" s="1"/>
  <c r="C165" i="50" a="1"/>
  <c r="C165" i="50"/>
  <c r="C165" i="17" a="1"/>
  <c r="C165" i="17" s="1"/>
  <c r="C165" i="18" a="1"/>
  <c r="C165" i="18"/>
  <c r="C165" i="19" a="1"/>
  <c r="C165" i="19" s="1"/>
  <c r="C165" i="22" a="1"/>
  <c r="C165" i="22"/>
  <c r="C165" i="58" a="1"/>
  <c r="C165" i="58" s="1"/>
  <c r="C102" i="53" a="1"/>
  <c r="C102" i="53" s="1"/>
  <c r="C164" i="63" a="1"/>
  <c r="C164" i="63" s="1"/>
  <c r="C164" i="49" a="1"/>
  <c r="C164" i="49" s="1"/>
  <c r="C164" i="7" a="1"/>
  <c r="C164" i="7" s="1"/>
  <c r="C164" i="50" a="1"/>
  <c r="C164" i="50" s="1"/>
  <c r="C164" i="17" a="1"/>
  <c r="C164" i="17" s="1"/>
  <c r="C164" i="18" a="1"/>
  <c r="C164" i="18" s="1"/>
  <c r="C164" i="19" a="1"/>
  <c r="C164" i="19" s="1"/>
  <c r="C164" i="22" a="1"/>
  <c r="C164" i="22" s="1"/>
  <c r="C164" i="58" a="1"/>
  <c r="C164" i="58" s="1"/>
  <c r="C101" i="53" a="1"/>
  <c r="C101" i="53" s="1"/>
  <c r="C163" i="63" a="1"/>
  <c r="C163" i="63" s="1"/>
  <c r="C163" i="49" a="1"/>
  <c r="C163" i="49" s="1"/>
  <c r="C163" i="7" a="1"/>
  <c r="C163" i="7" s="1"/>
  <c r="C163" i="50" a="1"/>
  <c r="C163" i="50"/>
  <c r="C163" i="17" a="1"/>
  <c r="C163" i="17" s="1"/>
  <c r="C163" i="18" a="1"/>
  <c r="C163" i="18" s="1"/>
  <c r="C163" i="19" a="1"/>
  <c r="C163" i="19" s="1"/>
  <c r="C163" i="22" a="1"/>
  <c r="C163" i="22" s="1"/>
  <c r="C163" i="58" a="1"/>
  <c r="C163" i="58"/>
  <c r="C100" i="53" a="1"/>
  <c r="C100" i="53" s="1"/>
  <c r="C162" i="63" a="1"/>
  <c r="C162" i="63" s="1"/>
  <c r="C162" i="49" a="1"/>
  <c r="C162" i="49" s="1"/>
  <c r="C162" i="7" a="1"/>
  <c r="C162" i="7" s="1"/>
  <c r="C162" i="50" a="1"/>
  <c r="C162" i="50" s="1"/>
  <c r="C162" i="17" a="1"/>
  <c r="C162" i="17"/>
  <c r="C162" i="18" a="1"/>
  <c r="C162" i="18" s="1"/>
  <c r="C162" i="19" a="1"/>
  <c r="C162" i="19"/>
  <c r="C162" i="22" a="1"/>
  <c r="C162" i="22" s="1"/>
  <c r="C162" i="58" a="1"/>
  <c r="C162" i="58" s="1"/>
  <c r="C99" i="53" a="1"/>
  <c r="C99" i="53"/>
  <c r="C161" i="63" a="1"/>
  <c r="C161" i="63" s="1"/>
  <c r="C161" i="49" a="1"/>
  <c r="C161" i="49" s="1"/>
  <c r="C161" i="7" a="1"/>
  <c r="C161" i="7" s="1"/>
  <c r="C161" i="50" a="1"/>
  <c r="C161" i="50" s="1"/>
  <c r="C161" i="17" a="1"/>
  <c r="C161" i="17" s="1"/>
  <c r="C161" i="18" a="1"/>
  <c r="C161" i="18" s="1"/>
  <c r="C161" i="19" a="1"/>
  <c r="C161" i="19" s="1"/>
  <c r="C161" i="22" a="1"/>
  <c r="C161" i="22" s="1"/>
  <c r="C161" i="58" a="1"/>
  <c r="C161" i="58" s="1"/>
  <c r="C98" i="53" a="1"/>
  <c r="C98" i="53" s="1"/>
  <c r="C160" i="63" a="1"/>
  <c r="C160" i="63" s="1"/>
  <c r="C160" i="49" a="1"/>
  <c r="C160" i="49" s="1"/>
  <c r="C160" i="7" a="1"/>
  <c r="C160" i="7" s="1"/>
  <c r="C160" i="50" a="1"/>
  <c r="C160" i="50" s="1"/>
  <c r="C160" i="17" a="1"/>
  <c r="C160" i="17" s="1"/>
  <c r="C160" i="18" a="1"/>
  <c r="C160" i="18" s="1"/>
  <c r="C160" i="19" a="1"/>
  <c r="C160" i="19" s="1"/>
  <c r="C160" i="22" a="1"/>
  <c r="C160" i="22" s="1"/>
  <c r="C160" i="58" a="1"/>
  <c r="C160" i="58"/>
  <c r="C97" i="53" a="1"/>
  <c r="C97" i="53" s="1"/>
  <c r="C159" i="63" a="1"/>
  <c r="C159" i="63" s="1"/>
  <c r="C159" i="49" a="1"/>
  <c r="C159" i="49" s="1"/>
  <c r="C159" i="7" a="1"/>
  <c r="C159" i="7" s="1"/>
  <c r="C159" i="50" a="1"/>
  <c r="C159" i="50"/>
  <c r="C159" i="17" a="1"/>
  <c r="C159" i="17" s="1"/>
  <c r="C159" i="18" a="1"/>
  <c r="C159" i="18" s="1"/>
  <c r="C159" i="19" a="1"/>
  <c r="C159" i="19" s="1"/>
  <c r="C159" i="22" a="1"/>
  <c r="C159" i="22" s="1"/>
  <c r="C159" i="58" a="1"/>
  <c r="C159" i="58" s="1"/>
  <c r="C96" i="53" a="1"/>
  <c r="C96" i="53" s="1"/>
  <c r="C158" i="63" a="1"/>
  <c r="C158" i="63" s="1"/>
  <c r="C158" i="49" a="1"/>
  <c r="C158" i="49" s="1"/>
  <c r="C158" i="7" a="1"/>
  <c r="C158" i="7" s="1"/>
  <c r="C158" i="50" a="1"/>
  <c r="C158" i="50" s="1"/>
  <c r="C158" i="17" a="1"/>
  <c r="C158" i="17" s="1"/>
  <c r="C158" i="18" a="1"/>
  <c r="C158" i="18" s="1"/>
  <c r="C158" i="19" a="1"/>
  <c r="C158" i="19" s="1"/>
  <c r="C158" i="22" a="1"/>
  <c r="C158" i="22" s="1"/>
  <c r="C158" i="58" a="1"/>
  <c r="C158" i="58"/>
  <c r="C92" i="53" a="1"/>
  <c r="C92" i="53" s="1"/>
  <c r="C154" i="63" a="1"/>
  <c r="C154" i="63" s="1"/>
  <c r="C154" i="49" a="1"/>
  <c r="C154" i="49" s="1"/>
  <c r="C154" i="7" a="1"/>
  <c r="C154" i="7" s="1"/>
  <c r="C154" i="50" a="1"/>
  <c r="C154" i="50" s="1"/>
  <c r="C154" i="17" a="1"/>
  <c r="C154" i="17" s="1"/>
  <c r="C154" i="18" a="1"/>
  <c r="C154" i="18" s="1"/>
  <c r="C154" i="19" a="1"/>
  <c r="C154" i="19" s="1"/>
  <c r="C154" i="22" a="1"/>
  <c r="C154" i="22" s="1"/>
  <c r="C154" i="58" a="1"/>
  <c r="C154" i="58" s="1"/>
  <c r="C91" i="53" a="1"/>
  <c r="C91" i="53" s="1"/>
  <c r="C153" i="63" a="1"/>
  <c r="C153" i="63" s="1"/>
  <c r="C153" i="49" a="1"/>
  <c r="C153" i="49" s="1"/>
  <c r="C153" i="7" a="1"/>
  <c r="C153" i="7" s="1"/>
  <c r="C153" i="50" a="1"/>
  <c r="C153" i="50"/>
  <c r="C153" i="17" a="1"/>
  <c r="C153" i="17" s="1"/>
  <c r="C153" i="18" a="1"/>
  <c r="C153" i="18" s="1"/>
  <c r="C153" i="19" a="1"/>
  <c r="C153" i="19" s="1"/>
  <c r="C153" i="22" a="1"/>
  <c r="C153" i="22" s="1"/>
  <c r="C153" i="58" a="1"/>
  <c r="C153" i="58"/>
  <c r="C90" i="53" a="1"/>
  <c r="C90" i="53" s="1"/>
  <c r="C152" i="63" a="1"/>
  <c r="C152" i="63" s="1"/>
  <c r="C152" i="49" a="1"/>
  <c r="C152" i="49" s="1"/>
  <c r="C152" i="7" a="1"/>
  <c r="C152" i="7" s="1"/>
  <c r="C152" i="50" a="1"/>
  <c r="C152" i="50" s="1"/>
  <c r="C152" i="17" a="1"/>
  <c r="C152" i="17" s="1"/>
  <c r="C152" i="18" a="1"/>
  <c r="C152" i="18" s="1"/>
  <c r="C152" i="19" a="1"/>
  <c r="C152" i="19"/>
  <c r="C152" i="22" a="1"/>
  <c r="C152" i="22" s="1"/>
  <c r="C152" i="58" a="1"/>
  <c r="C152" i="58" s="1"/>
  <c r="C89" i="53" a="1"/>
  <c r="C89" i="53" s="1"/>
  <c r="C151" i="63" a="1"/>
  <c r="C151" i="63" s="1"/>
  <c r="C151" i="49" a="1"/>
  <c r="C151" i="49" s="1"/>
  <c r="C151" i="7" a="1"/>
  <c r="C151" i="7" s="1"/>
  <c r="C151" i="50" a="1"/>
  <c r="C151" i="50" s="1"/>
  <c r="C151" i="17" a="1"/>
  <c r="C151" i="17" s="1"/>
  <c r="C151" i="18" a="1"/>
  <c r="C151" i="18" s="1"/>
  <c r="C151" i="19" a="1"/>
  <c r="C151" i="19" s="1"/>
  <c r="C151" i="22" a="1"/>
  <c r="C151" i="22" s="1"/>
  <c r="C151" i="58" a="1"/>
  <c r="C151" i="58" s="1"/>
  <c r="C88" i="53" a="1"/>
  <c r="C88" i="53" s="1"/>
  <c r="C150" i="63" a="1"/>
  <c r="C150" i="63" s="1"/>
  <c r="C150" i="49" a="1"/>
  <c r="C150" i="49" s="1"/>
  <c r="C150" i="7" a="1"/>
  <c r="C150" i="7" s="1"/>
  <c r="C150" i="50" a="1"/>
  <c r="C150" i="50" s="1"/>
  <c r="C150" i="17" a="1"/>
  <c r="C150" i="17" s="1"/>
  <c r="C150" i="18" a="1"/>
  <c r="C150" i="18" s="1"/>
  <c r="C150" i="19" a="1"/>
  <c r="C150" i="19" s="1"/>
  <c r="C150" i="22" a="1"/>
  <c r="C150" i="22" s="1"/>
  <c r="C150" i="58" a="1"/>
  <c r="C150" i="58"/>
  <c r="C87" i="53" a="1"/>
  <c r="C87" i="53" s="1"/>
  <c r="C149" i="63" a="1"/>
  <c r="C149" i="63" s="1"/>
  <c r="C149" i="49" a="1"/>
  <c r="C149" i="49" s="1"/>
  <c r="C149" i="7" a="1"/>
  <c r="C149" i="7"/>
  <c r="C149" i="50" a="1"/>
  <c r="C149" i="50" s="1"/>
  <c r="C149" i="17" a="1"/>
  <c r="C149" i="17" s="1"/>
  <c r="C149" i="18" a="1"/>
  <c r="C149" i="18" s="1"/>
  <c r="C149" i="19" a="1"/>
  <c r="C149" i="19"/>
  <c r="C149" i="22" a="1"/>
  <c r="C149" i="22" s="1"/>
  <c r="C149" i="58" a="1"/>
  <c r="C149" i="58" s="1"/>
  <c r="C86" i="53" a="1"/>
  <c r="C86" i="53" s="1"/>
  <c r="C148" i="63" a="1"/>
  <c r="C148" i="63" s="1"/>
  <c r="C148" i="49" a="1"/>
  <c r="C148" i="49" s="1"/>
  <c r="C148" i="7" a="1"/>
  <c r="C148" i="7" s="1"/>
  <c r="C148" i="50" a="1"/>
  <c r="C148" i="50"/>
  <c r="C148" i="17" a="1"/>
  <c r="C148" i="17" s="1"/>
  <c r="C148" i="18" a="1"/>
  <c r="C148" i="18" s="1"/>
  <c r="C148" i="19" a="1"/>
  <c r="C148" i="19"/>
  <c r="C148" i="22" a="1"/>
  <c r="C148" i="22" s="1"/>
  <c r="C148" i="58" a="1"/>
  <c r="C148" i="58" s="1"/>
  <c r="C85" i="53" a="1"/>
  <c r="C85" i="53" s="1"/>
  <c r="C147" i="63" a="1"/>
  <c r="C147" i="63" s="1"/>
  <c r="C147" i="49" a="1"/>
  <c r="C147" i="49" s="1"/>
  <c r="C147" i="7" a="1"/>
  <c r="C147" i="7" s="1"/>
  <c r="C147" i="50" a="1"/>
  <c r="C147" i="50" s="1"/>
  <c r="C147" i="17" a="1"/>
  <c r="C147" i="17" s="1"/>
  <c r="C147" i="18" a="1"/>
  <c r="C147" i="18" s="1"/>
  <c r="C147" i="19" a="1"/>
  <c r="C147" i="19" s="1"/>
  <c r="C147" i="22" a="1"/>
  <c r="C147" i="22" s="1"/>
  <c r="C147" i="58" a="1"/>
  <c r="C147" i="58" s="1"/>
  <c r="C84" i="53" a="1"/>
  <c r="C84" i="53"/>
  <c r="C146" i="63" a="1"/>
  <c r="C146" i="63" s="1"/>
  <c r="C146" i="49" a="1"/>
  <c r="C146" i="49" s="1"/>
  <c r="C146" i="7" a="1"/>
  <c r="C146" i="7"/>
  <c r="C146" i="50" a="1"/>
  <c r="C146" i="50" s="1"/>
  <c r="C146" i="17" a="1"/>
  <c r="C146" i="17"/>
  <c r="C146" i="18" a="1"/>
  <c r="C146" i="18" s="1"/>
  <c r="C146" i="19" a="1"/>
  <c r="C146" i="19"/>
  <c r="C146" i="22" a="1"/>
  <c r="C146" i="22" s="1"/>
  <c r="C146" i="58" a="1"/>
  <c r="C146" i="58" s="1"/>
  <c r="C81" i="53" a="1"/>
  <c r="C81" i="53"/>
  <c r="C143" i="63" a="1"/>
  <c r="C143" i="63" s="1"/>
  <c r="C143" i="49" a="1"/>
  <c r="C143" i="49" s="1"/>
  <c r="C143" i="7" a="1"/>
  <c r="C143" i="7" s="1"/>
  <c r="C143" i="50" a="1"/>
  <c r="C143" i="50"/>
  <c r="C143" i="17" a="1"/>
  <c r="C143" i="17" s="1"/>
  <c r="C143" i="18" a="1"/>
  <c r="C143" i="18" s="1"/>
  <c r="C143" i="19" a="1"/>
  <c r="C143" i="19" s="1"/>
  <c r="C143" i="22" a="1"/>
  <c r="C143" i="22"/>
  <c r="C143" i="58" a="1"/>
  <c r="C143" i="58" s="1"/>
  <c r="C80" i="53" a="1"/>
  <c r="C80" i="53" s="1"/>
  <c r="C142" i="63" a="1"/>
  <c r="C142" i="63" s="1"/>
  <c r="C142" i="49" a="1"/>
  <c r="C142" i="49" s="1"/>
  <c r="C142" i="7" a="1"/>
  <c r="C142" i="7" s="1"/>
  <c r="C142" i="50" a="1"/>
  <c r="C142" i="50" s="1"/>
  <c r="C142" i="17" a="1"/>
  <c r="C142" i="17" s="1"/>
  <c r="C142" i="18" a="1"/>
  <c r="C142" i="18" s="1"/>
  <c r="C142" i="19" a="1"/>
  <c r="C142" i="19" s="1"/>
  <c r="C142" i="22" a="1"/>
  <c r="C142" i="22" s="1"/>
  <c r="C142" i="58" a="1"/>
  <c r="C142" i="58" s="1"/>
  <c r="C79" i="53" a="1"/>
  <c r="C79" i="53"/>
  <c r="C141" i="63" a="1"/>
  <c r="C141" i="63" s="1"/>
  <c r="C141" i="49" a="1"/>
  <c r="C141" i="49" s="1"/>
  <c r="C141" i="7" a="1"/>
  <c r="C141" i="7" s="1"/>
  <c r="C141" i="50" a="1"/>
  <c r="C141" i="50" s="1"/>
  <c r="C141" i="17" a="1"/>
  <c r="C141" i="17" s="1"/>
  <c r="C141" i="18" a="1"/>
  <c r="C141" i="18" s="1"/>
  <c r="C141" i="19" a="1"/>
  <c r="C141" i="19" s="1"/>
  <c r="C141" i="22" a="1"/>
  <c r="C141" i="22" s="1"/>
  <c r="C141" i="58" a="1"/>
  <c r="C141" i="58" s="1"/>
  <c r="C78" i="53" a="1"/>
  <c r="C78" i="53" s="1"/>
  <c r="C140" i="63" a="1"/>
  <c r="C140" i="63" s="1"/>
  <c r="C140" i="49" a="1"/>
  <c r="C140" i="49" s="1"/>
  <c r="C140" i="7" a="1"/>
  <c r="C140" i="7" s="1"/>
  <c r="C140" i="50" a="1"/>
  <c r="C140" i="50"/>
  <c r="C140" i="17" a="1"/>
  <c r="C140" i="17" s="1"/>
  <c r="C140" i="18" a="1"/>
  <c r="C140" i="18" s="1"/>
  <c r="C140" i="19" a="1"/>
  <c r="C140" i="19" s="1"/>
  <c r="C140" i="22" a="1"/>
  <c r="C140" i="22" s="1"/>
  <c r="C140" i="58" a="1"/>
  <c r="C140" i="58" s="1"/>
  <c r="C77" i="53" a="1"/>
  <c r="C77" i="53" s="1"/>
  <c r="C139" i="63" a="1"/>
  <c r="C139" i="63" s="1"/>
  <c r="C139" i="49" a="1"/>
  <c r="C139" i="49" s="1"/>
  <c r="C139" i="7" a="1"/>
  <c r="C139" i="7" s="1"/>
  <c r="C139" i="50" a="1"/>
  <c r="C139" i="50" s="1"/>
  <c r="C139" i="17" a="1"/>
  <c r="C139" i="17" s="1"/>
  <c r="C139" i="18" a="1"/>
  <c r="C139" i="18" s="1"/>
  <c r="C139" i="19" a="1"/>
  <c r="C139" i="19" s="1"/>
  <c r="C139" i="22" a="1"/>
  <c r="C139" i="22" s="1"/>
  <c r="C139" i="58" a="1"/>
  <c r="C139" i="58" s="1"/>
  <c r="C76" i="53" a="1"/>
  <c r="C76" i="53" s="1"/>
  <c r="C138" i="63" a="1"/>
  <c r="C138" i="63" s="1"/>
  <c r="C138" i="49" a="1"/>
  <c r="C138" i="49" s="1"/>
  <c r="C138" i="7" a="1"/>
  <c r="C138" i="7" s="1"/>
  <c r="C138" i="50" a="1"/>
  <c r="C138" i="50" s="1"/>
  <c r="C138" i="17" a="1"/>
  <c r="C138" i="17" s="1"/>
  <c r="C138" i="18" a="1"/>
  <c r="C138" i="18" s="1"/>
  <c r="C138" i="19" a="1"/>
  <c r="C138" i="19" s="1"/>
  <c r="C138" i="22" a="1"/>
  <c r="C138" i="22" s="1"/>
  <c r="C138" i="58" a="1"/>
  <c r="C138" i="58" s="1"/>
  <c r="C75" i="53" a="1"/>
  <c r="C75" i="53" s="1"/>
  <c r="C137" i="63" a="1"/>
  <c r="C137" i="63" s="1"/>
  <c r="C137" i="49" a="1"/>
  <c r="C137" i="49" s="1"/>
  <c r="C137" i="7" a="1"/>
  <c r="C137" i="7" s="1"/>
  <c r="C137" i="50" a="1"/>
  <c r="C137" i="50" s="1"/>
  <c r="C137" i="17" a="1"/>
  <c r="C137" i="17" s="1"/>
  <c r="C137" i="18" a="1"/>
  <c r="C137" i="18" s="1"/>
  <c r="C137" i="19" a="1"/>
  <c r="C137" i="19" s="1"/>
  <c r="C137" i="22" a="1"/>
  <c r="C137" i="22" s="1"/>
  <c r="C137" i="58" a="1"/>
  <c r="C137" i="58" s="1"/>
  <c r="C74" i="53" a="1"/>
  <c r="C74" i="53" s="1"/>
  <c r="C136" i="63" a="1"/>
  <c r="C136" i="63" s="1"/>
  <c r="C136" i="49" a="1"/>
  <c r="C136" i="49" s="1"/>
  <c r="C136" i="7" a="1"/>
  <c r="C136" i="7" s="1"/>
  <c r="C136" i="50" a="1"/>
  <c r="C136" i="50" s="1"/>
  <c r="C136" i="17" a="1"/>
  <c r="C136" i="17" s="1"/>
  <c r="C136" i="18" a="1"/>
  <c r="C136" i="18" s="1"/>
  <c r="C136" i="19" a="1"/>
  <c r="C136" i="19" s="1"/>
  <c r="C136" i="22" a="1"/>
  <c r="C136" i="22" s="1"/>
  <c r="C136" i="58" a="1"/>
  <c r="C136" i="58" s="1"/>
  <c r="C73" i="53" a="1"/>
  <c r="C73" i="53" s="1"/>
  <c r="C135" i="63" a="1"/>
  <c r="C135" i="63" s="1"/>
  <c r="C135" i="49" a="1"/>
  <c r="C135" i="49" s="1"/>
  <c r="C135" i="7" a="1"/>
  <c r="C135" i="7" s="1"/>
  <c r="C135" i="50" a="1"/>
  <c r="C135" i="50" s="1"/>
  <c r="C135" i="17" a="1"/>
  <c r="C135" i="17" s="1"/>
  <c r="C135" i="18" a="1"/>
  <c r="C135" i="18" s="1"/>
  <c r="C135" i="19" a="1"/>
  <c r="C135" i="19" s="1"/>
  <c r="C135" i="22" a="1"/>
  <c r="C135" i="22" s="1"/>
  <c r="C135" i="58" a="1"/>
  <c r="C135" i="58" s="1"/>
  <c r="C95" i="53" a="1"/>
  <c r="C95" i="53" s="1"/>
  <c r="C157" i="63" a="1"/>
  <c r="C157" i="63" s="1"/>
  <c r="C157" i="49" a="1"/>
  <c r="C157" i="49" s="1"/>
  <c r="C157" i="7" a="1"/>
  <c r="C157" i="7"/>
  <c r="C157" i="50" a="1"/>
  <c r="C157" i="50" s="1"/>
  <c r="C157" i="17" a="1"/>
  <c r="C157" i="17" s="1"/>
  <c r="C166" i="17" s="1"/>
  <c r="C157" i="18" a="1"/>
  <c r="C157" i="18" s="1"/>
  <c r="C157" i="19" a="1"/>
  <c r="C157" i="19"/>
  <c r="C157" i="22" a="1"/>
  <c r="C157" i="22" s="1"/>
  <c r="C157" i="58" a="1"/>
  <c r="C157" i="58" s="1"/>
  <c r="C71" i="53" a="1"/>
  <c r="C71" i="53" s="1"/>
  <c r="C133" i="63" a="1"/>
  <c r="C133" i="63"/>
  <c r="C133" i="49" a="1"/>
  <c r="C133" i="49" s="1"/>
  <c r="C133" i="7" a="1"/>
  <c r="C133" i="7"/>
  <c r="C133" i="50" a="1"/>
  <c r="C133" i="50" s="1"/>
  <c r="C133" i="17" a="1"/>
  <c r="C133" i="17"/>
  <c r="C133" i="18" a="1"/>
  <c r="C133" i="18" s="1"/>
  <c r="C133" i="19" a="1"/>
  <c r="C133" i="19" s="1"/>
  <c r="C133" i="22" a="1"/>
  <c r="C133" i="22"/>
  <c r="C133" i="58" a="1"/>
  <c r="C133" i="58"/>
  <c r="C70" i="53" a="1"/>
  <c r="C70" i="53" s="1"/>
  <c r="C132" i="63" a="1"/>
  <c r="C132" i="63" s="1"/>
  <c r="C132" i="49" a="1"/>
  <c r="C132" i="49" s="1"/>
  <c r="C132" i="7" a="1"/>
  <c r="C132" i="7" s="1"/>
  <c r="C132" i="50" a="1"/>
  <c r="C132" i="50"/>
  <c r="C132" i="17" a="1"/>
  <c r="C132" i="17" s="1"/>
  <c r="C132" i="18" a="1"/>
  <c r="C132" i="18" s="1"/>
  <c r="C132" i="19" a="1"/>
  <c r="C132" i="19" s="1"/>
  <c r="C132" i="22" a="1"/>
  <c r="C132" i="22"/>
  <c r="C132" i="58" a="1"/>
  <c r="C132" i="58"/>
  <c r="C69" i="53" a="1"/>
  <c r="C69" i="53" s="1"/>
  <c r="C131" i="63" a="1"/>
  <c r="C131" i="63" s="1"/>
  <c r="C131" i="49" a="1"/>
  <c r="C131" i="49" s="1"/>
  <c r="C131" i="7" a="1"/>
  <c r="C131" i="7" s="1"/>
  <c r="C131" i="50" a="1"/>
  <c r="C131" i="50"/>
  <c r="C131" i="17" a="1"/>
  <c r="C131" i="17" s="1"/>
  <c r="C131" i="18" a="1"/>
  <c r="C131" i="18" s="1"/>
  <c r="C131" i="19" a="1"/>
  <c r="C131" i="19" s="1"/>
  <c r="C131" i="22" a="1"/>
  <c r="C131" i="22" s="1"/>
  <c r="C131" i="58" a="1"/>
  <c r="C131" i="58" s="1"/>
  <c r="C68" i="53" a="1"/>
  <c r="C68" i="53" s="1"/>
  <c r="C130" i="63" a="1"/>
  <c r="C130" i="63" s="1"/>
  <c r="C130" i="49" a="1"/>
  <c r="C130" i="49" s="1"/>
  <c r="C130" i="7" a="1"/>
  <c r="C130" i="7"/>
  <c r="C130" i="50" a="1"/>
  <c r="C130" i="50" s="1"/>
  <c r="C130" i="17" a="1"/>
  <c r="C130" i="17" s="1"/>
  <c r="C130" i="18" a="1"/>
  <c r="C130" i="18" s="1"/>
  <c r="C130" i="19" a="1"/>
  <c r="C130" i="19" s="1"/>
  <c r="C130" i="22" a="1"/>
  <c r="C130" i="22" s="1"/>
  <c r="C130" i="58" a="1"/>
  <c r="C130" i="58" s="1"/>
  <c r="C67" i="53" a="1"/>
  <c r="C67" i="53" s="1"/>
  <c r="C129" i="63" a="1"/>
  <c r="C129" i="63" s="1"/>
  <c r="C129" i="49" a="1"/>
  <c r="C129" i="49" s="1"/>
  <c r="C129" i="7" a="1"/>
  <c r="C129" i="7" s="1"/>
  <c r="C129" i="50" a="1"/>
  <c r="C129" i="50"/>
  <c r="C129" i="17" a="1"/>
  <c r="C129" i="17" s="1"/>
  <c r="C129" i="18" a="1"/>
  <c r="C129" i="18" s="1"/>
  <c r="C129" i="19" a="1"/>
  <c r="C129" i="19"/>
  <c r="C129" i="22" a="1"/>
  <c r="C129" i="22" s="1"/>
  <c r="C129" i="58" a="1"/>
  <c r="C129" i="58" s="1"/>
  <c r="C66" i="53" a="1"/>
  <c r="C66" i="53"/>
  <c r="C128" i="63" a="1"/>
  <c r="C128" i="63" s="1"/>
  <c r="C128" i="49" a="1"/>
  <c r="C128" i="49" s="1"/>
  <c r="C128" i="7" a="1"/>
  <c r="C128" i="7"/>
  <c r="C128" i="50" a="1"/>
  <c r="C128" i="50" s="1"/>
  <c r="C128" i="17" a="1"/>
  <c r="C128" i="17" s="1"/>
  <c r="C128" i="18" a="1"/>
  <c r="C128" i="18"/>
  <c r="C128" i="19" a="1"/>
  <c r="C128" i="19" s="1"/>
  <c r="C128" i="22" a="1"/>
  <c r="C128" i="22" s="1"/>
  <c r="C128" i="58" a="1"/>
  <c r="C128" i="58"/>
  <c r="C62" i="53" a="1"/>
  <c r="C62" i="53" s="1"/>
  <c r="C124" i="63" a="1"/>
  <c r="C124" i="63" s="1"/>
  <c r="C124" i="49" a="1"/>
  <c r="C124" i="49" s="1"/>
  <c r="C124" i="7" a="1"/>
  <c r="C124" i="7" s="1"/>
  <c r="C124" i="50" a="1"/>
  <c r="C124" i="50"/>
  <c r="C124" i="17" a="1"/>
  <c r="C124" i="17" s="1"/>
  <c r="C124" i="18" a="1"/>
  <c r="C124" i="18" s="1"/>
  <c r="C124" i="19" a="1"/>
  <c r="C124" i="19" s="1"/>
  <c r="C124" i="22" a="1"/>
  <c r="C124" i="22" s="1"/>
  <c r="C124" i="58" a="1"/>
  <c r="C124" i="58" s="1"/>
  <c r="C63" i="53" a="1"/>
  <c r="C63" i="53" s="1"/>
  <c r="C125" i="63" a="1"/>
  <c r="C125" i="63" s="1"/>
  <c r="C125" i="49" a="1"/>
  <c r="C125" i="49" s="1"/>
  <c r="C125" i="7" a="1"/>
  <c r="C125" i="7" s="1"/>
  <c r="C125" i="50" a="1"/>
  <c r="C125" i="50" s="1"/>
  <c r="C125" i="17" a="1"/>
  <c r="C125" i="17" s="1"/>
  <c r="C125" i="18" a="1"/>
  <c r="C125" i="18" s="1"/>
  <c r="C125" i="19" a="1"/>
  <c r="C125" i="19" s="1"/>
  <c r="C125" i="22" a="1"/>
  <c r="C125" i="22" s="1"/>
  <c r="C125" i="58" a="1"/>
  <c r="C125" i="58"/>
  <c r="C64" i="53" a="1"/>
  <c r="C64" i="53" s="1"/>
  <c r="C126" i="63" a="1"/>
  <c r="C126" i="63" s="1"/>
  <c r="C126" i="49" a="1"/>
  <c r="C126" i="49" s="1"/>
  <c r="C126" i="7" a="1"/>
  <c r="C126" i="7" s="1"/>
  <c r="C126" i="50" a="1"/>
  <c r="C126" i="50"/>
  <c r="C126" i="17" a="1"/>
  <c r="C126" i="17" s="1"/>
  <c r="C126" i="18" a="1"/>
  <c r="C126" i="18" s="1"/>
  <c r="C126" i="19" a="1"/>
  <c r="C126" i="19" s="1"/>
  <c r="C126" i="22" a="1"/>
  <c r="C126" i="22" s="1"/>
  <c r="C126" i="58" a="1"/>
  <c r="C126" i="58"/>
  <c r="C65" i="53" a="1"/>
  <c r="C65" i="53" s="1"/>
  <c r="C127" i="63" a="1"/>
  <c r="C127" i="63"/>
  <c r="C127" i="49" a="1"/>
  <c r="C127" i="49" s="1"/>
  <c r="C127" i="7" a="1"/>
  <c r="C127" i="7"/>
  <c r="C127" i="50" a="1"/>
  <c r="C127" i="50" s="1"/>
  <c r="C127" i="17" a="1"/>
  <c r="C127" i="17"/>
  <c r="C127" i="18" a="1"/>
  <c r="C127" i="18" s="1"/>
  <c r="C127" i="19" a="1"/>
  <c r="C127" i="19" s="1"/>
  <c r="C127" i="22" a="1"/>
  <c r="C127" i="22" s="1"/>
  <c r="C127" i="58" a="1"/>
  <c r="C127" i="58"/>
  <c r="C166" i="7" l="1"/>
  <c r="C104" i="53"/>
  <c r="C166" i="58"/>
  <c r="C166" i="19"/>
  <c r="C166" i="63"/>
  <c r="C166" i="49"/>
  <c r="C166" i="50"/>
  <c r="C166" i="18"/>
  <c r="C166" i="22"/>
  <c r="C199" i="63"/>
  <c r="G166" i="63"/>
  <c r="G133" i="63"/>
  <c r="G144" i="63"/>
  <c r="G210" i="63"/>
  <c r="C221" i="63"/>
  <c r="G232" i="63"/>
  <c r="C155" i="63"/>
  <c r="C177" i="63"/>
  <c r="G188" i="63"/>
  <c r="G234" i="63"/>
  <c r="C134" i="63"/>
  <c r="C144" i="63"/>
  <c r="G177" i="63"/>
  <c r="C188" i="63"/>
  <c r="C210" i="63"/>
  <c r="C232" i="63"/>
  <c r="G199" i="63"/>
  <c r="G221" i="63"/>
  <c r="C243" i="63"/>
  <c r="G155" i="63"/>
  <c r="G234" i="58" l="1"/>
  <c r="C243" i="58"/>
  <c r="G232" i="58"/>
  <c r="C221" i="58"/>
  <c r="C188" i="58"/>
  <c r="C177" i="58"/>
  <c r="G221" i="58"/>
  <c r="C199" i="58"/>
  <c r="G210" i="58"/>
  <c r="C155" i="58"/>
  <c r="C144" i="58"/>
  <c r="G177" i="58"/>
  <c r="C134" i="58"/>
  <c r="G199" i="58"/>
  <c r="C232" i="58"/>
  <c r="G166" i="58"/>
  <c r="C210" i="58"/>
  <c r="G155" i="58"/>
  <c r="G188" i="58"/>
  <c r="G144" i="58"/>
  <c r="D248" i="6" a="1"/>
  <c r="E248" i="6" a="1"/>
  <c r="F248" i="6" a="1"/>
  <c r="C248" i="6" a="1"/>
  <c r="B248" i="6" a="1"/>
  <c r="B248" i="6" l="1"/>
  <c r="C248" i="6"/>
  <c r="C188" i="22"/>
  <c r="F248" i="6"/>
  <c r="E248" i="6"/>
  <c r="D248" i="6"/>
  <c r="G133" i="58"/>
  <c r="G177" i="18" l="1"/>
  <c r="G144" i="17"/>
  <c r="G188" i="49"/>
  <c r="G155" i="7"/>
  <c r="G234" i="49"/>
  <c r="C221" i="17"/>
  <c r="C137" i="53"/>
  <c r="C181" i="53"/>
  <c r="C221" i="49"/>
  <c r="G188" i="22"/>
  <c r="G199" i="17"/>
  <c r="C243" i="49"/>
  <c r="G177" i="19"/>
  <c r="C210" i="22"/>
  <c r="C243" i="7"/>
  <c r="C170" i="53"/>
  <c r="C199" i="7"/>
  <c r="C243" i="19"/>
  <c r="G221" i="50"/>
  <c r="G126" i="53"/>
  <c r="C93" i="53"/>
  <c r="G221" i="18"/>
  <c r="C134" i="49"/>
  <c r="C210" i="50"/>
  <c r="G71" i="53"/>
  <c r="C115" i="53"/>
  <c r="G188" i="19"/>
  <c r="G133" i="50"/>
  <c r="C232" i="50"/>
  <c r="C244" i="6"/>
  <c r="C243" i="50"/>
  <c r="G232" i="22"/>
  <c r="G177" i="49"/>
  <c r="G166" i="49"/>
  <c r="C221" i="18"/>
  <c r="G166" i="17"/>
  <c r="G166" i="18"/>
  <c r="G155" i="17"/>
  <c r="C144" i="17"/>
  <c r="C177" i="17"/>
  <c r="G133" i="49"/>
  <c r="C159" i="53"/>
  <c r="G232" i="49"/>
  <c r="C199" i="18"/>
  <c r="G144" i="49"/>
  <c r="G188" i="17"/>
  <c r="G221" i="22"/>
  <c r="C188" i="18"/>
  <c r="C144" i="18"/>
  <c r="C148" i="53"/>
  <c r="G148" i="53"/>
  <c r="G232" i="19"/>
  <c r="C232" i="19"/>
  <c r="G166" i="22"/>
  <c r="G104" i="53"/>
  <c r="G133" i="7"/>
  <c r="C155" i="7"/>
  <c r="C188" i="19"/>
  <c r="G155" i="50"/>
  <c r="G199" i="49"/>
  <c r="C232" i="18"/>
  <c r="G210" i="7"/>
  <c r="G155" i="22"/>
  <c r="C199" i="22"/>
  <c r="C210" i="18"/>
  <c r="G177" i="22"/>
  <c r="C144" i="49"/>
  <c r="G82" i="53"/>
  <c r="G232" i="18"/>
  <c r="C126" i="53"/>
  <c r="C232" i="7"/>
  <c r="C177" i="22"/>
  <c r="G133" i="17"/>
  <c r="G199" i="50"/>
  <c r="C232" i="22"/>
  <c r="C221" i="22"/>
  <c r="G144" i="50"/>
  <c r="G199" i="19"/>
  <c r="G188" i="18"/>
  <c r="G155" i="18"/>
  <c r="C155" i="22"/>
  <c r="C210" i="19"/>
  <c r="G170" i="53"/>
  <c r="C177" i="18"/>
  <c r="G210" i="19"/>
  <c r="G221" i="7"/>
  <c r="G210" i="17"/>
  <c r="C188" i="50"/>
  <c r="G210" i="18"/>
  <c r="G166" i="7"/>
  <c r="G93" i="53"/>
  <c r="C144" i="50"/>
  <c r="C221" i="19"/>
  <c r="C155" i="49"/>
  <c r="C199" i="19"/>
  <c r="C199" i="49"/>
  <c r="C177" i="19"/>
  <c r="G144" i="18"/>
  <c r="G199" i="22"/>
  <c r="C134" i="19"/>
  <c r="G234" i="19"/>
  <c r="C134" i="50"/>
  <c r="G234" i="50"/>
  <c r="C243" i="22"/>
  <c r="G234" i="18"/>
  <c r="C134" i="18"/>
  <c r="G199" i="18"/>
  <c r="G232" i="50"/>
  <c r="G155" i="19"/>
  <c r="C232" i="49"/>
  <c r="G221" i="19"/>
  <c r="G188" i="50"/>
  <c r="G221" i="17"/>
  <c r="C155" i="18"/>
  <c r="C210" i="7"/>
  <c r="G144" i="22"/>
  <c r="C243" i="17"/>
  <c r="C177" i="7"/>
  <c r="G232" i="17"/>
  <c r="C155" i="17"/>
  <c r="G137" i="53"/>
  <c r="G232" i="7"/>
  <c r="G144" i="19"/>
  <c r="G210" i="50"/>
  <c r="C243" i="18"/>
  <c r="G159" i="53"/>
  <c r="C144" i="7"/>
  <c r="C144" i="22"/>
  <c r="C210" i="17"/>
  <c r="G144" i="7"/>
  <c r="G177" i="7"/>
  <c r="G133" i="18"/>
  <c r="G166" i="50"/>
  <c r="C134" i="17"/>
  <c r="G234" i="17"/>
  <c r="G172" i="53"/>
  <c r="C72" i="53"/>
  <c r="C199" i="50"/>
  <c r="C134" i="22"/>
  <c r="G234" i="22"/>
  <c r="G221" i="49"/>
  <c r="G155" i="49"/>
  <c r="C210" i="49"/>
  <c r="G210" i="22"/>
  <c r="C134" i="7"/>
  <c r="G234" i="7"/>
  <c r="G210" i="49"/>
  <c r="G115" i="53"/>
  <c r="C177" i="49"/>
  <c r="G199" i="7"/>
  <c r="C155" i="19"/>
  <c r="C144" i="19"/>
  <c r="C221" i="50"/>
  <c r="G166" i="19"/>
  <c r="C199" i="17"/>
  <c r="C188" i="49"/>
  <c r="G133" i="22"/>
  <c r="C177" i="50"/>
  <c r="G188" i="7"/>
  <c r="G133" i="19"/>
  <c r="C188" i="7"/>
  <c r="C82" i="53"/>
  <c r="G177" i="50"/>
  <c r="C232" i="17"/>
  <c r="C188" i="17"/>
  <c r="G177" i="17"/>
  <c r="C155" i="50"/>
  <c r="C221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<sst xmlns="http://schemas.openxmlformats.org/spreadsheetml/2006/main" count="5211" uniqueCount="190">
  <si>
    <t>Office of the University Registrar</t>
  </si>
  <si>
    <t>1. TOR</t>
  </si>
  <si>
    <t>2. HD</t>
  </si>
  <si>
    <t>3. CAV</t>
  </si>
  <si>
    <t>4.Certification</t>
  </si>
  <si>
    <t>5. Evaluation</t>
  </si>
  <si>
    <t>8. WES</t>
  </si>
  <si>
    <t>4a. Offically Enrolled</t>
  </si>
  <si>
    <t>4e.Subjects Enrolled</t>
  </si>
  <si>
    <t>4i. English Medium</t>
  </si>
  <si>
    <t>6. Form 137</t>
  </si>
  <si>
    <t>9. Permit to study</t>
  </si>
  <si>
    <t>4b. GPA</t>
  </si>
  <si>
    <t>4f. CAR</t>
  </si>
  <si>
    <t>4j. Grading System</t>
  </si>
  <si>
    <t>7. Diploma Replacement</t>
  </si>
  <si>
    <t>10. Verification</t>
  </si>
  <si>
    <t xml:space="preserve">4c.  Graduated </t>
  </si>
  <si>
    <t>4g. Subjects w/ grades</t>
  </si>
  <si>
    <t>4k. Cum Laude</t>
  </si>
  <si>
    <t>4d. Earned Units</t>
  </si>
  <si>
    <t>4h. USTP conversion</t>
  </si>
  <si>
    <t>4l. Graduating</t>
  </si>
  <si>
    <t>No.</t>
  </si>
  <si>
    <t>Name</t>
  </si>
  <si>
    <t>Course</t>
  </si>
  <si>
    <r>
      <t>Put (</t>
    </r>
    <r>
      <rPr>
        <b/>
        <sz val="11"/>
        <rFont val="Wingdings"/>
        <charset val="2"/>
      </rPr>
      <t>ü</t>
    </r>
    <r>
      <rPr>
        <b/>
        <sz val="11"/>
        <rFont val="Aptos Narrow"/>
        <family val="2"/>
        <scheme val="minor"/>
      </rPr>
      <t>) if Graduated in 2018 onwards</t>
    </r>
  </si>
  <si>
    <t>Credential Requested</t>
  </si>
  <si>
    <t>Purpose</t>
  </si>
  <si>
    <t>Date Requested</t>
  </si>
  <si>
    <t>Scheduled Date for Release</t>
  </si>
  <si>
    <t>Date Claimed</t>
  </si>
  <si>
    <t>Printed Name &amp; Signature</t>
  </si>
  <si>
    <t>For Evaluation</t>
  </si>
  <si>
    <t>For Scholarship</t>
  </si>
  <si>
    <t>For Passport</t>
  </si>
  <si>
    <t>For Board Exam</t>
  </si>
  <si>
    <t>For Employment</t>
  </si>
  <si>
    <t>For Personal File</t>
  </si>
  <si>
    <t>For Advanced Studies</t>
  </si>
  <si>
    <t>For Ranking</t>
  </si>
  <si>
    <t>Others (Specify)</t>
  </si>
  <si>
    <t>4a. Officialy Enrolled</t>
  </si>
  <si>
    <t>4c. Graduated</t>
  </si>
  <si>
    <t>4e. Subjects Enrolled</t>
  </si>
  <si>
    <t>9. Permit to Study</t>
  </si>
  <si>
    <t>4g. Subjects with grades</t>
  </si>
  <si>
    <t>4h. USTP Conversion</t>
  </si>
  <si>
    <t>Total Requests</t>
  </si>
  <si>
    <t>TOR-Granted</t>
  </si>
  <si>
    <t>TOR Granted</t>
  </si>
  <si>
    <t>BSCE</t>
  </si>
  <si>
    <t>WINDOW 1</t>
  </si>
  <si>
    <t>WINDOW 2</t>
  </si>
  <si>
    <t>WINDOW 3</t>
  </si>
  <si>
    <t>WINDOW 4</t>
  </si>
  <si>
    <t>WINDOW 5</t>
  </si>
  <si>
    <t>Processing Time</t>
  </si>
  <si>
    <t>BSCHEM</t>
  </si>
  <si>
    <t>BS-Arch</t>
  </si>
  <si>
    <t>BSIT</t>
  </si>
  <si>
    <t>BSTCM</t>
  </si>
  <si>
    <t>BSESM-EMCM</t>
  </si>
  <si>
    <t>BSECT</t>
  </si>
  <si>
    <t>BTLED-HE</t>
  </si>
  <si>
    <t>BTLED-IA</t>
  </si>
  <si>
    <t>BTVTED-FSM</t>
  </si>
  <si>
    <t>BSED-Science</t>
  </si>
  <si>
    <t>PHD-EPA</t>
  </si>
  <si>
    <t>MS-EE</t>
  </si>
  <si>
    <t>MS-ES</t>
  </si>
  <si>
    <t xml:space="preserve">Board Exam </t>
  </si>
  <si>
    <t>ü</t>
  </si>
  <si>
    <t xml:space="preserve">Employment </t>
  </si>
  <si>
    <t xml:space="preserve">Evaluation  </t>
  </si>
  <si>
    <t xml:space="preserve">TOR-Granted </t>
  </si>
  <si>
    <t xml:space="preserve">Ranking </t>
  </si>
  <si>
    <t>RAY</t>
  </si>
  <si>
    <t>RIZZA</t>
  </si>
  <si>
    <t>KHORIE</t>
  </si>
  <si>
    <t>RIENA</t>
  </si>
  <si>
    <t>ARON</t>
  </si>
  <si>
    <t>BS-AMT</t>
  </si>
  <si>
    <t xml:space="preserve"> </t>
  </si>
  <si>
    <t>4I</t>
  </si>
  <si>
    <t xml:space="preserve">VISA </t>
  </si>
  <si>
    <t>4 Days</t>
  </si>
  <si>
    <t xml:space="preserve">WES </t>
  </si>
  <si>
    <t xml:space="preserve">Advanced Studies </t>
  </si>
  <si>
    <t xml:space="preserve">4 days </t>
  </si>
  <si>
    <t>4f</t>
  </si>
  <si>
    <t>CAR</t>
  </si>
  <si>
    <t xml:space="preserve">Evaluation </t>
  </si>
  <si>
    <t xml:space="preserve">Latin Honor </t>
  </si>
  <si>
    <t>CSC</t>
  </si>
  <si>
    <t xml:space="preserve">  </t>
  </si>
  <si>
    <t xml:space="preserve">Civil Servicer </t>
  </si>
  <si>
    <t xml:space="preserve">3 days </t>
  </si>
  <si>
    <t>4a</t>
  </si>
  <si>
    <t xml:space="preserve">Scholarship </t>
  </si>
  <si>
    <t xml:space="preserve">   3 days </t>
  </si>
  <si>
    <t xml:space="preserve">4f </t>
  </si>
  <si>
    <t>4i</t>
  </si>
  <si>
    <t>Btled-he</t>
  </si>
  <si>
    <t>Bsed-math</t>
  </si>
  <si>
    <t>bsit</t>
  </si>
  <si>
    <t>Scholarship</t>
  </si>
  <si>
    <t>BSET</t>
  </si>
  <si>
    <t>Eteeap</t>
  </si>
  <si>
    <t>abroad</t>
  </si>
  <si>
    <t>3 Days</t>
  </si>
  <si>
    <t>board exam</t>
  </si>
  <si>
    <t>TCM</t>
  </si>
  <si>
    <t>4g</t>
  </si>
  <si>
    <t>School Transfer</t>
  </si>
  <si>
    <t>Board Exam</t>
  </si>
  <si>
    <t>BSAP</t>
  </si>
  <si>
    <t>Employment</t>
  </si>
  <si>
    <t>nstp Serial #</t>
  </si>
  <si>
    <t>Emplymeent</t>
  </si>
  <si>
    <t>scholarship</t>
  </si>
  <si>
    <t>School purpose</t>
  </si>
  <si>
    <t>Passport</t>
  </si>
  <si>
    <t>Evaluation</t>
  </si>
  <si>
    <t>MEP_CE</t>
  </si>
  <si>
    <t>.</t>
  </si>
  <si>
    <t xml:space="preserve">COT </t>
  </si>
  <si>
    <t>BS-FT</t>
  </si>
  <si>
    <t xml:space="preserve">BS-Arch </t>
  </si>
  <si>
    <t>4j</t>
  </si>
  <si>
    <t xml:space="preserve">Studes Abroad </t>
  </si>
  <si>
    <t xml:space="preserve">5 days </t>
  </si>
  <si>
    <t xml:space="preserve">BS-FT </t>
  </si>
  <si>
    <t xml:space="preserve">BS-CE </t>
  </si>
  <si>
    <t>BS-EMT-MR</t>
  </si>
  <si>
    <t xml:space="preserve">BS-COE </t>
  </si>
  <si>
    <t xml:space="preserve">BSET-MST </t>
  </si>
  <si>
    <t xml:space="preserve">BS-ME </t>
  </si>
  <si>
    <t xml:space="preserve">BS-ET-MST </t>
  </si>
  <si>
    <t xml:space="preserve">BS-CHEM </t>
  </si>
  <si>
    <t xml:space="preserve">BS-ES-NRM </t>
  </si>
  <si>
    <t>4d</t>
  </si>
  <si>
    <t>4c</t>
  </si>
  <si>
    <t>4h</t>
  </si>
  <si>
    <t>5 Days</t>
  </si>
  <si>
    <t>4Days</t>
  </si>
  <si>
    <t xml:space="preserve">  Evaluation </t>
  </si>
  <si>
    <t xml:space="preserve">1 days </t>
  </si>
  <si>
    <t xml:space="preserve">      </t>
  </si>
  <si>
    <t xml:space="preserve">BT-LED-IE </t>
  </si>
  <si>
    <t xml:space="preserve">    Internship </t>
  </si>
  <si>
    <t>4b</t>
  </si>
  <si>
    <t>Employment /</t>
  </si>
  <si>
    <t xml:space="preserve">BSIT </t>
  </si>
  <si>
    <t xml:space="preserve">BoarD Exam </t>
  </si>
  <si>
    <t xml:space="preserve">BS-MET </t>
  </si>
  <si>
    <t>1 day</t>
  </si>
  <si>
    <t xml:space="preserve">TOR -Granted </t>
  </si>
  <si>
    <t>FOR MAILING</t>
  </si>
  <si>
    <t>Advanced Studies</t>
  </si>
  <si>
    <t>Transfer</t>
  </si>
  <si>
    <t>TOR GRANTED</t>
  </si>
  <si>
    <t>Dissertation</t>
  </si>
  <si>
    <t xml:space="preserve">  Employment</t>
  </si>
  <si>
    <t xml:space="preserve">4a, 4g </t>
  </si>
  <si>
    <t xml:space="preserve">TESDA </t>
  </si>
  <si>
    <t>Advance Studies</t>
  </si>
  <si>
    <t xml:space="preserve">Educational Asistance </t>
  </si>
  <si>
    <t xml:space="preserve">12/9/2-25 </t>
  </si>
  <si>
    <t xml:space="preserve">    4a</t>
  </si>
  <si>
    <t xml:space="preserve">   Visa </t>
  </si>
  <si>
    <t xml:space="preserve">    1 Day</t>
  </si>
  <si>
    <t xml:space="preserve">4b </t>
  </si>
  <si>
    <t>Personal File</t>
  </si>
  <si>
    <t>CIC</t>
  </si>
  <si>
    <t>4ps</t>
  </si>
  <si>
    <t>Ranking</t>
  </si>
  <si>
    <t>Promotion</t>
  </si>
  <si>
    <t>4G</t>
  </si>
  <si>
    <t>SCHOLARSHIP</t>
  </si>
  <si>
    <t>angelica,eljay Incharge</t>
  </si>
  <si>
    <t xml:space="preserve">Promotion </t>
  </si>
  <si>
    <t>Board exam</t>
  </si>
  <si>
    <t>Graduating student</t>
  </si>
  <si>
    <t xml:space="preserve">4g </t>
  </si>
  <si>
    <t>5,2</t>
  </si>
  <si>
    <t>Employment 0</t>
  </si>
  <si>
    <t>NSTP Serial #</t>
  </si>
  <si>
    <t>q</t>
  </si>
  <si>
    <t xml:space="preserve">Letter of No Objection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</si>
</sst>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8"/>
      <name val="Berlin Sans FB Demi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Wingdings"/>
      <charset val="2"/>
    </font>
    <font>
      <b/>
      <sz val="10"/>
      <name val="Aptos Narrow"/>
      <family val="2"/>
      <scheme val="minor"/>
    </font>
    <font>
      <sz val="11"/>
      <color theme="1"/>
      <name val="Wingdings"/>
      <charset val="2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27">
    <xf numFmtId="0" fontId="0" fillId="0" borderId="0" xfId="0"/>
    <xf numFmtId="14" fontId="4" fillId="0" borderId="2" xfId="1" applyNumberFormat="1" applyFont="1" applyBorder="1" applyAlignment="1">
      <alignment vertical="center"/>
    </xf>
    <xf numFmtId="0" fontId="4" fillId="0" borderId="2" xfId="1" applyFont="1" applyBorder="1" applyAlignment="1">
      <alignment vertical="center" shrinkToFit="1"/>
    </xf>
    <xf numFmtId="0" fontId="4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left" vertical="center"/>
    </xf>
    <xf numFmtId="0" fontId="4" fillId="0" borderId="2" xfId="1" applyFont="1" applyBorder="1" applyAlignment="1">
      <alignment vertical="center"/>
    </xf>
    <xf numFmtId="14" fontId="4" fillId="0" borderId="2" xfId="1" applyNumberFormat="1" applyFont="1" applyBorder="1" applyAlignment="1">
      <alignment horizontal="center" vertical="center" shrinkToFit="1"/>
    </xf>
    <xf numFmtId="14" fontId="4" fillId="0" borderId="2" xfId="1" applyNumberFormat="1" applyFont="1" applyBorder="1" applyAlignment="1">
      <alignment vertical="center" shrinkToFit="1"/>
    </xf>
    <xf numFmtId="0" fontId="4" fillId="0" borderId="2" xfId="1" applyFont="1" applyBorder="1" applyAlignment="1">
      <alignment horizontal="center" vertical="center" shrinkToFit="1"/>
    </xf>
    <xf numFmtId="0" fontId="5" fillId="2" borderId="2" xfId="1" applyFont="1" applyFill="1" applyBorder="1" applyAlignment="1">
      <alignment horizontal="center" vertical="center" wrapText="1"/>
    </xf>
    <xf numFmtId="0" fontId="0" fillId="0" borderId="2" xfId="0" applyBorder="1" applyAlignment="1">
      <alignment shrinkToFit="1"/>
    </xf>
    <xf numFmtId="0" fontId="0" fillId="0" borderId="2" xfId="0" applyBorder="1" applyAlignment="1">
      <alignment vertical="center" shrinkToFit="1"/>
    </xf>
    <xf numFmtId="0" fontId="0" fillId="0" borderId="2" xfId="0" applyBorder="1" applyAlignment="1">
      <alignment horizontal="left" vertical="center" shrinkToFit="1"/>
    </xf>
    <xf numFmtId="0" fontId="8" fillId="0" borderId="2" xfId="0" applyFont="1" applyBorder="1" applyAlignment="1">
      <alignment horizont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shrinkToFit="1"/>
    </xf>
    <xf numFmtId="0" fontId="0" fillId="0" borderId="2" xfId="0" applyBorder="1"/>
    <xf numFmtId="0" fontId="0" fillId="0" borderId="2" xfId="0" applyBorder="1" applyAlignment="1">
      <alignment horizontal="left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1" fillId="2" borderId="2" xfId="0" applyFont="1" applyFill="1" applyBorder="1"/>
    <xf numFmtId="0" fontId="1" fillId="3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center" vertical="center" shrinkToFit="1"/>
    </xf>
    <xf numFmtId="0" fontId="0" fillId="0" borderId="2" xfId="0" applyBorder="1" applyAlignment="1">
      <alignment horizontal="right"/>
    </xf>
    <xf numFmtId="0" fontId="0" fillId="2" borderId="2" xfId="0" applyFill="1" applyBorder="1"/>
    <xf numFmtId="0" fontId="1" fillId="3" borderId="2" xfId="0" applyFont="1" applyFill="1" applyBorder="1"/>
    <xf numFmtId="0" fontId="1" fillId="2" borderId="2" xfId="0" applyFont="1" applyFill="1" applyBorder="1" applyAlignment="1">
      <alignment shrinkToFit="1"/>
    </xf>
    <xf numFmtId="0" fontId="0" fillId="0" borderId="2" xfId="0" applyBorder="1" applyAlignment="1">
      <alignment horizontal="right" vertical="center" shrinkToFit="1"/>
    </xf>
    <xf numFmtId="0" fontId="1" fillId="3" borderId="2" xfId="0" applyFont="1" applyFill="1" applyBorder="1" applyAlignment="1">
      <alignment horizontal="right" vertical="center" shrinkToFit="1"/>
    </xf>
    <xf numFmtId="0" fontId="0" fillId="3" borderId="2" xfId="0" applyFill="1" applyBorder="1" applyAlignment="1">
      <alignment horizontal="right"/>
    </xf>
    <xf numFmtId="0" fontId="0" fillId="3" borderId="2" xfId="0" applyFill="1" applyBorder="1" applyAlignment="1">
      <alignment horizontal="center"/>
    </xf>
    <xf numFmtId="0" fontId="5" fillId="4" borderId="2" xfId="1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14" fontId="0" fillId="0" borderId="2" xfId="0" applyNumberFormat="1" applyBorder="1"/>
    <xf numFmtId="0" fontId="0" fillId="0" borderId="2" xfId="0" applyNumberFormat="1" applyBorder="1" applyAlignment="1">
      <alignment horizontal="center" vertical="center" shrinkToFit="1"/>
    </xf>
    <xf numFmtId="0" fontId="0" fillId="0" borderId="0" xfId="0"/>
    <xf numFmtId="0" fontId="0" fillId="0" borderId="0" xfId="0"/>
    <xf numFmtId="0" fontId="0" fillId="0" borderId="2" xfId="0" applyBorder="1" applyAlignment="1">
      <alignment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shrinkToFit="1"/>
    </xf>
    <xf numFmtId="0" fontId="0" fillId="0" borderId="2" xfId="0" applyBorder="1"/>
    <xf numFmtId="0" fontId="0" fillId="0" borderId="2" xfId="0" applyBorder="1" applyAlignment="1">
      <alignment horizontal="left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horizontal="center"/>
    </xf>
    <xf numFmtId="0" fontId="6" fillId="0" borderId="2" xfId="1" applyFont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shrinkToFit="1"/>
    </xf>
    <xf numFmtId="0" fontId="0" fillId="0" borderId="2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0" fillId="0" borderId="0" xfId="0" applyFont="1"/>
    <xf numFmtId="0" fontId="0" fillId="0" borderId="2" xfId="0" applyFill="1" applyBorder="1"/>
    <xf numFmtId="14" fontId="0" fillId="0" borderId="0" xfId="0" applyNumberFormat="1" applyBorder="1" applyAlignment="1">
      <alignment vertical="center"/>
    </xf>
    <xf numFmtId="0" fontId="0" fillId="0" borderId="0" xfId="0"/>
    <xf numFmtId="0" fontId="0" fillId="0" borderId="2" xfId="0" applyBorder="1" applyAlignment="1">
      <alignment shrinkToFit="1"/>
    </xf>
    <xf numFmtId="0" fontId="0" fillId="0" borderId="2" xfId="0" applyBorder="1" applyAlignment="1">
      <alignment horizontal="left" vertical="center" shrinkToFit="1"/>
    </xf>
    <xf numFmtId="0" fontId="8" fillId="0" borderId="2" xfId="0" applyFont="1" applyBorder="1" applyAlignment="1">
      <alignment horizont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shrinkToFit="1"/>
    </xf>
    <xf numFmtId="0" fontId="0" fillId="0" borderId="2" xfId="0" applyBorder="1"/>
    <xf numFmtId="0" fontId="0" fillId="0" borderId="2" xfId="0" applyBorder="1" applyAlignment="1">
      <alignment horizontal="left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horizontal="center"/>
    </xf>
    <xf numFmtId="0" fontId="6" fillId="0" borderId="2" xfId="1" applyFont="1" applyBorder="1" applyAlignment="1">
      <alignment horizontal="center" vertical="center" wrapText="1"/>
    </xf>
    <xf numFmtId="14" fontId="0" fillId="0" borderId="2" xfId="0" applyNumberFormat="1" applyBorder="1"/>
    <xf numFmtId="0" fontId="0" fillId="0" borderId="2" xfId="0" applyNumberFormat="1" applyBorder="1" applyAlignment="1">
      <alignment horizontal="center" vertical="center" shrinkToFit="1"/>
    </xf>
    <xf numFmtId="0" fontId="0" fillId="0" borderId="3" xfId="0" applyBorder="1"/>
    <xf numFmtId="0" fontId="0" fillId="0" borderId="2" xfId="0" applyBorder="1" applyProtection="1"/>
    <xf numFmtId="0" fontId="0" fillId="0" borderId="2" xfId="0" applyBorder="1" applyAlignment="1" applyProtection="1">
      <alignment horizontal="left"/>
    </xf>
    <xf numFmtId="0" fontId="0" fillId="0" borderId="2" xfId="0" applyBorder="1" applyAlignment="1" applyProtection="1">
      <alignment horizontal="left" vertical="center" shrinkToFit="1"/>
    </xf>
    <xf numFmtId="0" fontId="0" fillId="0" borderId="0" xfId="0" applyProtection="1">
      <protection locked="0"/>
    </xf>
    <xf numFmtId="14" fontId="4" fillId="0" borderId="2" xfId="1" applyNumberFormat="1" applyFont="1" applyBorder="1" applyAlignment="1" applyProtection="1">
      <alignment vertical="center"/>
      <protection locked="0"/>
    </xf>
    <xf numFmtId="0" fontId="4" fillId="0" borderId="2" xfId="1" applyFont="1" applyBorder="1" applyAlignment="1" applyProtection="1">
      <alignment vertical="center" shrinkToFit="1"/>
      <protection locked="0"/>
    </xf>
    <xf numFmtId="0" fontId="4" fillId="0" borderId="2" xfId="1" applyFont="1" applyBorder="1" applyAlignment="1" applyProtection="1">
      <alignment horizontal="left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14" fontId="4" fillId="0" borderId="2" xfId="1" applyNumberFormat="1" applyFont="1" applyBorder="1" applyAlignment="1" applyProtection="1">
      <alignment horizontal="center" vertical="center"/>
      <protection locked="0"/>
    </xf>
    <xf numFmtId="14" fontId="4" fillId="0" borderId="2" xfId="1" applyNumberFormat="1" applyFont="1" applyBorder="1" applyAlignment="1" applyProtection="1">
      <alignment horizontal="left" vertical="center"/>
      <protection locked="0"/>
    </xf>
    <xf numFmtId="0" fontId="4" fillId="0" borderId="2" xfId="1" applyFont="1" applyBorder="1" applyAlignment="1" applyProtection="1">
      <alignment vertical="center"/>
      <protection locked="0"/>
    </xf>
    <xf numFmtId="14" fontId="4" fillId="0" borderId="2" xfId="1" applyNumberFormat="1" applyFont="1" applyBorder="1" applyAlignment="1" applyProtection="1">
      <alignment horizontal="center" vertical="center" shrinkToFit="1"/>
      <protection locked="0"/>
    </xf>
    <xf numFmtId="14" fontId="4" fillId="0" borderId="2" xfId="1" applyNumberFormat="1" applyFont="1" applyBorder="1" applyAlignment="1" applyProtection="1">
      <alignment vertical="center" shrinkToFit="1"/>
      <protection locked="0"/>
    </xf>
    <xf numFmtId="0" fontId="4" fillId="0" borderId="2" xfId="1" applyFont="1" applyBorder="1" applyAlignment="1" applyProtection="1">
      <alignment horizontal="center" vertical="center" shrinkToFit="1"/>
      <protection locked="0"/>
    </xf>
    <xf numFmtId="0" fontId="5" fillId="4" borderId="2" xfId="1" applyFont="1" applyFill="1" applyBorder="1" applyAlignment="1" applyProtection="1">
      <alignment horizontal="center" vertical="center"/>
      <protection locked="0"/>
    </xf>
    <xf numFmtId="0" fontId="5" fillId="2" borderId="2" xfId="1" applyFont="1" applyFill="1" applyBorder="1" applyAlignment="1" applyProtection="1">
      <alignment horizontal="center" vertical="center" wrapText="1"/>
      <protection locked="0"/>
    </xf>
    <xf numFmtId="0" fontId="5" fillId="4" borderId="2" xfId="1" applyFont="1" applyFill="1" applyBorder="1" applyAlignment="1" applyProtection="1">
      <alignment horizontal="center" vertical="center" wrapText="1"/>
      <protection locked="0"/>
    </xf>
    <xf numFmtId="0" fontId="7" fillId="4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shrinkToFit="1"/>
      <protection locked="0"/>
    </xf>
    <xf numFmtId="0" fontId="0" fillId="0" borderId="2" xfId="0" applyBorder="1" applyProtection="1">
      <protection locked="0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 vertical="center" shrinkToFit="1"/>
      <protection locked="0"/>
    </xf>
    <xf numFmtId="14" fontId="0" fillId="0" borderId="2" xfId="0" applyNumberForma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8" fillId="0" borderId="2" xfId="0" applyFont="1" applyBorder="1" applyAlignment="1" applyProtection="1">
      <alignment horizontal="center" shrinkToFit="1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14" fontId="0" fillId="0" borderId="2" xfId="0" applyNumberFormat="1" applyBorder="1" applyProtection="1">
      <protection locked="0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shrinkToFit="1"/>
    </xf>
    <xf numFmtId="14" fontId="0" fillId="0" borderId="2" xfId="0" applyNumberFormat="1" applyFill="1" applyBorder="1" applyAlignment="1">
      <alignment horizontal="center" vertical="center" shrinkToFit="1"/>
    </xf>
    <xf numFmtId="14" fontId="10" fillId="0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/>
    </xf>
    <xf numFmtId="0" fontId="11" fillId="0" borderId="2" xfId="0" applyFont="1" applyBorder="1"/>
    <xf numFmtId="0" fontId="12" fillId="0" borderId="2" xfId="0" applyFont="1" applyBorder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left" vertical="center" shrinkToFit="1"/>
    </xf>
    <xf numFmtId="0" fontId="5" fillId="0" borderId="2" xfId="1" applyFont="1" applyBorder="1" applyAlignment="1">
      <alignment horizontal="center" vertical="center"/>
    </xf>
    <xf numFmtId="164" fontId="3" fillId="0" borderId="0" xfId="1" applyNumberFormat="1" applyFont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4" fillId="0" borderId="2" xfId="1" applyNumberFormat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left" vertical="center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20D07-DCB8-4599-AB0C-F5D0F58F42AD}">
  <sheetPr codeName="Sheet4"/>
  <dimension ref="A1:O35"/>
  <sheetViews>
    <sheetView topLeftCell="A19" zoomScale="98" zoomScaleNormal="45" workbookViewId="0">
      <selection activeCell="N41" sqref="N41"/>
    </sheetView>
  </sheetViews>
  <sheetFormatPr defaultRowHeight="14.25"/>
  <cols>
    <col min="1" max="1" width="4.125" customWidth="1"/>
    <col min="2" max="2" width="20.375" customWidth="1"/>
    <col min="3" max="3" width="7.625" customWidth="1"/>
    <col min="4" max="4" width="9" customWidth="1"/>
    <col min="5" max="5" width="7.5" customWidth="1"/>
    <col min="6" max="6" width="14.75" customWidth="1"/>
    <col min="7" max="7" width="12.25" customWidth="1"/>
    <col min="8" max="8" width="11.625" customWidth="1"/>
    <col min="9" max="9" width="11.75" customWidth="1"/>
  </cols>
  <sheetData>
    <row r="1" spans="1:15" ht="22.5">
      <c r="A1" s="115">
        <v>45992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5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5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6"/>
      <c r="L3" s="6"/>
    </row>
    <row r="4" spans="1:15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5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5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5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5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5">
      <c r="A9" s="12">
        <v>1</v>
      </c>
      <c r="B9" s="20"/>
      <c r="C9" s="20"/>
      <c r="D9" s="20"/>
      <c r="E9" s="17">
        <v>1</v>
      </c>
      <c r="F9" s="17" t="s">
        <v>75</v>
      </c>
      <c r="G9" s="37">
        <v>45987</v>
      </c>
      <c r="H9" s="37">
        <v>45992</v>
      </c>
      <c r="I9" s="41"/>
      <c r="J9" s="20"/>
      <c r="K9" s="20"/>
      <c r="L9" s="20"/>
      <c r="O9" s="61"/>
    </row>
    <row r="10" spans="1:15">
      <c r="A10" s="12">
        <v>2</v>
      </c>
      <c r="B10" s="49"/>
      <c r="C10" s="49"/>
      <c r="D10" s="49"/>
      <c r="E10" s="17" t="s">
        <v>98</v>
      </c>
      <c r="F10" s="17" t="s">
        <v>99</v>
      </c>
      <c r="G10" s="37">
        <v>45989</v>
      </c>
      <c r="H10" s="37">
        <v>45992</v>
      </c>
      <c r="I10" s="48"/>
      <c r="J10" s="51"/>
      <c r="K10" s="52"/>
      <c r="L10" s="52"/>
      <c r="O10" s="61"/>
    </row>
    <row r="11" spans="1:15">
      <c r="A11" s="12">
        <v>3</v>
      </c>
      <c r="B11" s="44"/>
      <c r="C11" s="50"/>
      <c r="D11" s="46"/>
      <c r="E11" s="17">
        <v>1</v>
      </c>
      <c r="F11" s="17" t="s">
        <v>75</v>
      </c>
      <c r="G11" s="37">
        <v>45986</v>
      </c>
      <c r="H11" s="37">
        <v>45992</v>
      </c>
      <c r="I11" s="41"/>
      <c r="J11" s="49"/>
      <c r="K11" s="49"/>
      <c r="L11" s="49"/>
      <c r="O11" s="61"/>
    </row>
    <row r="12" spans="1:15">
      <c r="A12" s="12">
        <v>4</v>
      </c>
      <c r="B12" s="20"/>
      <c r="C12" s="20"/>
      <c r="D12" s="54"/>
      <c r="E12" s="17">
        <v>1</v>
      </c>
      <c r="F12" s="17" t="s">
        <v>73</v>
      </c>
      <c r="G12" s="37">
        <v>45986</v>
      </c>
      <c r="H12" s="37">
        <v>45992</v>
      </c>
      <c r="I12" s="41"/>
      <c r="J12" s="51"/>
      <c r="K12" s="52"/>
      <c r="L12" s="52"/>
      <c r="O12" s="61"/>
    </row>
    <row r="13" spans="1:15">
      <c r="A13" s="12">
        <v>5</v>
      </c>
      <c r="B13" s="20"/>
      <c r="C13" s="20"/>
      <c r="D13" s="49"/>
      <c r="E13" s="17">
        <v>1</v>
      </c>
      <c r="F13" s="17" t="s">
        <v>73</v>
      </c>
      <c r="G13" s="37">
        <v>45987</v>
      </c>
      <c r="H13" s="37">
        <v>45992</v>
      </c>
      <c r="I13" s="41"/>
      <c r="J13" s="20"/>
      <c r="K13" s="20"/>
      <c r="L13" s="20"/>
      <c r="O13" s="61"/>
    </row>
    <row r="14" spans="1:15">
      <c r="A14" s="12">
        <v>6</v>
      </c>
      <c r="B14" s="49"/>
      <c r="C14" s="49"/>
      <c r="D14" s="54"/>
      <c r="E14" s="17">
        <v>2</v>
      </c>
      <c r="F14" s="17" t="s">
        <v>74</v>
      </c>
      <c r="G14" s="37">
        <v>45987</v>
      </c>
      <c r="H14" s="37">
        <v>45992</v>
      </c>
      <c r="I14" s="41"/>
      <c r="J14" s="49"/>
      <c r="K14" s="49"/>
      <c r="L14" s="49"/>
      <c r="O14" s="61"/>
    </row>
    <row r="15" spans="1:15">
      <c r="A15" s="12">
        <v>7</v>
      </c>
      <c r="B15" s="44"/>
      <c r="C15" s="50"/>
      <c r="D15" s="46"/>
      <c r="E15" s="17">
        <v>1</v>
      </c>
      <c r="F15" s="17" t="s">
        <v>75</v>
      </c>
      <c r="G15" s="37">
        <v>45987</v>
      </c>
      <c r="H15" s="37">
        <v>45992</v>
      </c>
      <c r="I15" s="41"/>
      <c r="J15" s="22"/>
      <c r="K15" s="23"/>
      <c r="L15" s="23"/>
      <c r="O15" s="61"/>
    </row>
    <row r="16" spans="1:15">
      <c r="A16" s="12">
        <v>8</v>
      </c>
      <c r="B16" s="20"/>
      <c r="C16" s="20"/>
      <c r="D16" s="39"/>
      <c r="E16" s="17">
        <v>1</v>
      </c>
      <c r="F16" s="17" t="s">
        <v>71</v>
      </c>
      <c r="G16" s="37">
        <v>45986</v>
      </c>
      <c r="H16" s="37">
        <v>45992</v>
      </c>
      <c r="I16" s="41"/>
      <c r="J16" s="22"/>
      <c r="K16" s="23"/>
      <c r="L16" s="23"/>
      <c r="O16" s="61"/>
    </row>
    <row r="17" spans="1:15">
      <c r="A17" s="12">
        <v>9</v>
      </c>
      <c r="B17" s="20"/>
      <c r="C17" s="20"/>
      <c r="D17" s="54"/>
      <c r="E17" s="17">
        <v>1</v>
      </c>
      <c r="F17" s="17" t="s">
        <v>71</v>
      </c>
      <c r="G17" s="37">
        <v>45986</v>
      </c>
      <c r="H17" s="37">
        <v>45992</v>
      </c>
      <c r="I17" s="41"/>
      <c r="J17" s="22"/>
      <c r="K17" s="23"/>
      <c r="L17" s="23"/>
      <c r="O17" s="61"/>
    </row>
    <row r="18" spans="1:15">
      <c r="A18" s="12">
        <v>10</v>
      </c>
      <c r="B18" s="20"/>
      <c r="C18" s="20"/>
      <c r="D18" s="49"/>
      <c r="E18" s="17">
        <v>1</v>
      </c>
      <c r="F18" s="17" t="s">
        <v>75</v>
      </c>
      <c r="G18" s="37">
        <v>45987</v>
      </c>
      <c r="H18" s="37">
        <v>45992</v>
      </c>
      <c r="I18" s="41"/>
      <c r="J18" s="22"/>
      <c r="K18" s="23"/>
      <c r="L18" s="23"/>
      <c r="O18" s="61"/>
    </row>
    <row r="19" spans="1:15">
      <c r="A19" s="12">
        <v>11</v>
      </c>
      <c r="B19" s="20"/>
      <c r="C19" s="20"/>
      <c r="D19" s="39"/>
      <c r="E19" s="17" t="s">
        <v>83</v>
      </c>
      <c r="F19" s="17" t="s">
        <v>71</v>
      </c>
      <c r="G19" s="37">
        <v>45986</v>
      </c>
      <c r="H19" s="37">
        <v>45992</v>
      </c>
      <c r="I19" s="41"/>
      <c r="J19" s="22"/>
      <c r="K19" s="23"/>
      <c r="L19" s="23"/>
      <c r="O19" s="61"/>
    </row>
    <row r="20" spans="1:15">
      <c r="A20" s="12">
        <v>12</v>
      </c>
      <c r="B20" s="49"/>
      <c r="C20" s="49"/>
      <c r="D20" s="54"/>
      <c r="E20" s="46">
        <v>1</v>
      </c>
      <c r="F20" s="17" t="s">
        <v>73</v>
      </c>
      <c r="G20" s="37">
        <v>45986</v>
      </c>
      <c r="H20" s="37">
        <v>45992</v>
      </c>
      <c r="I20" s="41"/>
      <c r="J20" s="22"/>
      <c r="K20" s="23"/>
      <c r="L20" s="23"/>
      <c r="O20" s="61"/>
    </row>
    <row r="21" spans="1:15">
      <c r="A21" s="12">
        <v>13</v>
      </c>
      <c r="B21" s="12"/>
      <c r="C21" s="21"/>
      <c r="D21" s="17"/>
      <c r="E21" s="45">
        <v>1</v>
      </c>
      <c r="F21" s="17" t="s">
        <v>74</v>
      </c>
      <c r="G21" s="37">
        <v>45986</v>
      </c>
      <c r="H21" s="37">
        <v>45992</v>
      </c>
      <c r="I21" s="41"/>
      <c r="J21" s="51"/>
      <c r="K21" s="52"/>
      <c r="L21" s="52"/>
      <c r="O21" s="61"/>
    </row>
    <row r="22" spans="1:15">
      <c r="A22" s="12">
        <v>14</v>
      </c>
      <c r="B22" s="44"/>
      <c r="C22" s="50"/>
      <c r="D22" s="46"/>
      <c r="E22" s="46" t="s">
        <v>84</v>
      </c>
      <c r="F22" s="17" t="s">
        <v>85</v>
      </c>
      <c r="G22" s="37">
        <v>45986</v>
      </c>
      <c r="H22" s="37">
        <v>45992</v>
      </c>
      <c r="I22" s="41"/>
      <c r="J22" s="49"/>
      <c r="K22" s="49"/>
      <c r="L22" s="49"/>
      <c r="O22" s="61"/>
    </row>
    <row r="23" spans="1:15">
      <c r="A23" s="12">
        <v>15</v>
      </c>
      <c r="B23" s="20"/>
      <c r="C23" s="20"/>
      <c r="D23" s="39"/>
      <c r="E23" s="45">
        <v>1</v>
      </c>
      <c r="F23" s="17" t="s">
        <v>87</v>
      </c>
      <c r="G23" s="37">
        <v>45987</v>
      </c>
      <c r="H23" s="37">
        <v>45992</v>
      </c>
      <c r="I23" s="41"/>
      <c r="J23" s="22"/>
      <c r="K23" s="52"/>
      <c r="L23" s="52"/>
      <c r="O23" s="61"/>
    </row>
    <row r="24" spans="1:15">
      <c r="A24" s="12">
        <v>16</v>
      </c>
      <c r="B24" s="20"/>
      <c r="C24" s="20"/>
      <c r="D24" s="54"/>
      <c r="E24" s="17">
        <v>1</v>
      </c>
      <c r="F24" s="17" t="s">
        <v>71</v>
      </c>
      <c r="G24" s="37">
        <v>45986</v>
      </c>
      <c r="H24" s="37">
        <v>45992</v>
      </c>
      <c r="I24" s="55"/>
      <c r="J24" s="51"/>
      <c r="K24" s="20"/>
      <c r="L24" s="20"/>
      <c r="O24" s="61"/>
    </row>
    <row r="25" spans="1:15">
      <c r="A25" s="12">
        <v>17</v>
      </c>
      <c r="B25" s="20"/>
      <c r="C25" s="49"/>
      <c r="D25" s="20"/>
      <c r="E25" s="17" t="s">
        <v>90</v>
      </c>
      <c r="F25" s="17" t="s">
        <v>91</v>
      </c>
      <c r="G25" s="37">
        <v>45988</v>
      </c>
      <c r="H25" s="37">
        <v>45992</v>
      </c>
      <c r="I25" s="48"/>
      <c r="J25" s="49"/>
      <c r="K25" s="49"/>
      <c r="L25" s="49"/>
      <c r="O25" s="61"/>
    </row>
    <row r="26" spans="1:15">
      <c r="A26" s="12">
        <v>18</v>
      </c>
      <c r="B26" s="20"/>
      <c r="C26" s="20"/>
      <c r="D26" s="49"/>
      <c r="E26" s="17">
        <v>3</v>
      </c>
      <c r="F26" s="17" t="s">
        <v>73</v>
      </c>
      <c r="G26" s="37">
        <v>45987</v>
      </c>
      <c r="H26" s="37">
        <v>45992</v>
      </c>
      <c r="I26" s="41"/>
      <c r="J26" s="22"/>
      <c r="K26" s="23"/>
      <c r="L26" s="23"/>
      <c r="O26" s="61"/>
    </row>
    <row r="27" spans="1:15">
      <c r="A27" s="12">
        <v>19</v>
      </c>
      <c r="B27" s="20"/>
      <c r="C27" s="20"/>
      <c r="D27" s="46"/>
      <c r="E27" s="17">
        <v>1</v>
      </c>
      <c r="F27" s="17" t="s">
        <v>76</v>
      </c>
      <c r="G27" s="37">
        <v>45986</v>
      </c>
      <c r="H27" s="37">
        <v>45992</v>
      </c>
      <c r="I27" s="41"/>
      <c r="J27" s="51"/>
      <c r="K27" s="52"/>
      <c r="L27" s="52"/>
      <c r="O27" s="61"/>
    </row>
    <row r="28" spans="1:15">
      <c r="A28" s="12">
        <v>20</v>
      </c>
      <c r="B28" s="20"/>
      <c r="C28" s="20"/>
      <c r="D28" s="20"/>
      <c r="E28" s="17">
        <v>3</v>
      </c>
      <c r="F28" s="17" t="s">
        <v>76</v>
      </c>
      <c r="G28" s="37">
        <v>45986</v>
      </c>
      <c r="H28" s="37">
        <v>45992</v>
      </c>
      <c r="I28" s="41"/>
      <c r="J28" s="20"/>
      <c r="K28" s="20"/>
      <c r="L28" s="20"/>
      <c r="O28" s="61"/>
    </row>
    <row r="29" spans="1:15">
      <c r="A29" s="12">
        <v>21</v>
      </c>
      <c r="B29" s="20"/>
      <c r="C29" s="20"/>
      <c r="D29" s="49"/>
      <c r="E29" s="17">
        <v>1</v>
      </c>
      <c r="F29" s="17" t="s">
        <v>75</v>
      </c>
      <c r="G29" s="37">
        <v>45987</v>
      </c>
      <c r="H29" s="37">
        <v>45992</v>
      </c>
      <c r="I29" s="41"/>
      <c r="J29" s="49"/>
      <c r="K29" s="49"/>
      <c r="L29" s="49"/>
      <c r="O29" s="61"/>
    </row>
    <row r="30" spans="1:15">
      <c r="A30" s="12">
        <v>22</v>
      </c>
      <c r="B30" s="20"/>
      <c r="C30" s="20"/>
      <c r="D30" s="39"/>
      <c r="E30" s="17">
        <v>1</v>
      </c>
      <c r="F30" s="17" t="s">
        <v>71</v>
      </c>
      <c r="G30" s="37">
        <v>45986</v>
      </c>
      <c r="H30" s="37">
        <v>45992</v>
      </c>
      <c r="I30" s="41"/>
      <c r="J30" s="22"/>
      <c r="K30" s="23"/>
      <c r="L30" s="23"/>
      <c r="O30" s="61"/>
    </row>
    <row r="31" spans="1:15">
      <c r="A31" s="12">
        <v>23</v>
      </c>
      <c r="B31" s="20"/>
      <c r="C31" s="20"/>
      <c r="D31" s="54"/>
      <c r="E31" s="17">
        <v>1</v>
      </c>
      <c r="F31" s="17" t="s">
        <v>71</v>
      </c>
      <c r="G31" s="37">
        <v>45986</v>
      </c>
      <c r="H31" s="37">
        <v>45992</v>
      </c>
      <c r="I31" s="55"/>
      <c r="J31" s="22"/>
      <c r="K31" s="23"/>
      <c r="L31" s="23"/>
      <c r="O31" s="61"/>
    </row>
    <row r="32" spans="1:15">
      <c r="A32" s="12">
        <v>24</v>
      </c>
      <c r="B32" s="44"/>
      <c r="C32" s="50"/>
      <c r="D32" s="46"/>
      <c r="E32" s="45" t="s">
        <v>98</v>
      </c>
      <c r="F32" s="46" t="s">
        <v>106</v>
      </c>
      <c r="G32" s="37">
        <v>45992</v>
      </c>
      <c r="H32" s="37">
        <v>45992</v>
      </c>
      <c r="I32" s="55"/>
      <c r="J32" s="20"/>
      <c r="K32" s="20"/>
      <c r="L32" s="20"/>
      <c r="O32" s="61"/>
    </row>
    <row r="33" spans="1:15">
      <c r="A33" s="12">
        <v>25</v>
      </c>
      <c r="B33" s="20"/>
      <c r="C33" s="20"/>
      <c r="D33" s="17"/>
      <c r="E33" s="17" t="s">
        <v>98</v>
      </c>
      <c r="F33" s="17" t="s">
        <v>109</v>
      </c>
      <c r="G33" s="53">
        <v>45992</v>
      </c>
      <c r="H33" s="53">
        <v>45992</v>
      </c>
      <c r="I33" s="55"/>
      <c r="J33" s="20"/>
      <c r="K33" s="20"/>
      <c r="L33" s="20"/>
      <c r="O33" s="61"/>
    </row>
    <row r="34" spans="1:15">
      <c r="A34" s="12">
        <v>26</v>
      </c>
      <c r="B34" s="12"/>
      <c r="C34" s="14"/>
      <c r="D34" s="15"/>
      <c r="E34" s="16"/>
      <c r="F34" s="17"/>
      <c r="G34" s="37"/>
      <c r="H34" s="37"/>
      <c r="I34" s="20"/>
      <c r="J34" s="20"/>
      <c r="K34" s="20"/>
      <c r="L34" s="20"/>
      <c r="O34" s="61"/>
    </row>
    <row r="35" spans="1:15">
      <c r="A35" s="12">
        <v>27</v>
      </c>
      <c r="B35" s="12"/>
      <c r="C35" s="14"/>
      <c r="D35" s="17"/>
      <c r="E35" s="16"/>
      <c r="F35" s="17"/>
      <c r="G35" s="18"/>
      <c r="H35" s="37" t="s">
        <v>83</v>
      </c>
      <c r="I35" s="20"/>
      <c r="J35" s="20"/>
      <c r="K35" s="20"/>
      <c r="L35" s="20"/>
    </row>
  </sheetData>
  <sortState ref="B9:L32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26:C35" xr:uid="{06A24933-B320-4DAF-984B-E046FA4179BB}">
      <formula1>A18:A35</formula1>
    </dataValidation>
  </dataValidation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showErrorMessage="1" errorTitle="Please Check Entry" error="It is recommended to pick a course from the list." xr:uid="{7CBBB726-0BF6-4F50-8E86-E479360CFE38}">
          <x14:formula1>
            <xm:f>#REF!</xm:f>
          </x14:formula1>
          <xm:sqref>C22 C25</xm:sqref>
        </x14:dataValidation>
        <x14:dataValidation type="list" errorStyle="information" allowBlank="1" showInputMessage="1" showErrorMessage="1" errorTitle="Please Check Entry" error="It is recommended to pick a course from the list." xr:uid="{CD65DE15-E288-4182-8D4F-D37B72A68B6A}">
          <x14:formula1>
            <xm:f>#REF!</xm:f>
          </x14:formula1>
          <xm:sqref>C23:C24</xm:sqref>
        </x14:dataValidation>
        <x14:dataValidation type="list" errorStyle="information" allowBlank="1" showInputMessage="1" showErrorMessage="1" errorTitle="Please Check Entry" error="It is recommended to pick a course from the list." xr:uid="{118993F3-7E6F-4674-8040-BEC497C1B331}">
          <x14:formula1>
            <xm:f>#REF!</xm:f>
          </x14:formula1>
          <xm:sqref>C9:C21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25"/>
  <sheetViews>
    <sheetView zoomScale="98" zoomScaleNormal="45" workbookViewId="0">
      <selection activeCell="T31" sqref="T31"/>
    </sheetView>
  </sheetViews>
  <sheetFormatPr defaultRowHeight="14.25"/>
  <cols>
    <col min="1" max="1" width="4.125" customWidth="1"/>
    <col min="2" max="2" width="20.375" customWidth="1"/>
    <col min="3" max="3" width="7.625" customWidth="1"/>
    <col min="4" max="4" width="9" customWidth="1"/>
    <col min="5" max="5" width="7.5" customWidth="1"/>
    <col min="6" max="6" width="16.5" customWidth="1"/>
    <col min="7" max="7" width="12.25" customWidth="1"/>
    <col min="8" max="8" width="11.625" customWidth="1"/>
    <col min="9" max="9" width="11.75" customWidth="1"/>
  </cols>
  <sheetData>
    <row r="1" spans="1:15" ht="22.5">
      <c r="A1" s="115">
        <v>45993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5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5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6"/>
      <c r="L3" s="6"/>
    </row>
    <row r="4" spans="1:15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5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5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5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5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5">
      <c r="A9" s="12">
        <v>1</v>
      </c>
      <c r="B9" s="20"/>
      <c r="C9" s="20"/>
      <c r="D9" s="39"/>
      <c r="E9" s="17">
        <v>2</v>
      </c>
      <c r="F9" s="17" t="s">
        <v>88</v>
      </c>
      <c r="G9" s="37">
        <v>45988</v>
      </c>
      <c r="H9" s="37">
        <v>45993</v>
      </c>
      <c r="I9" s="41"/>
      <c r="J9" s="20"/>
      <c r="K9" s="20"/>
      <c r="L9" s="20"/>
      <c r="O9" s="43"/>
    </row>
    <row r="10" spans="1:15">
      <c r="A10" s="12">
        <v>2</v>
      </c>
      <c r="B10" s="20"/>
      <c r="C10" s="20"/>
      <c r="D10" s="39"/>
      <c r="E10" s="17">
        <v>1</v>
      </c>
      <c r="F10" s="17" t="s">
        <v>71</v>
      </c>
      <c r="G10" s="37">
        <v>45987</v>
      </c>
      <c r="H10" s="37">
        <v>45993</v>
      </c>
      <c r="I10" s="41"/>
      <c r="J10" s="22"/>
      <c r="K10" s="23"/>
      <c r="L10" s="23"/>
      <c r="O10" s="43"/>
    </row>
    <row r="11" spans="1:15">
      <c r="A11" s="12">
        <v>3</v>
      </c>
      <c r="B11" s="20"/>
      <c r="C11" s="20"/>
      <c r="D11" s="17"/>
      <c r="E11" s="17">
        <v>1</v>
      </c>
      <c r="F11" s="17" t="s">
        <v>75</v>
      </c>
      <c r="G11" s="37">
        <v>45988</v>
      </c>
      <c r="H11" s="37">
        <v>45993</v>
      </c>
      <c r="I11" s="41"/>
      <c r="J11" s="20"/>
      <c r="K11" s="20"/>
      <c r="L11" s="20"/>
      <c r="O11" s="43"/>
    </row>
    <row r="12" spans="1:15">
      <c r="A12" s="12">
        <v>4</v>
      </c>
      <c r="B12" s="20"/>
      <c r="C12" s="20"/>
      <c r="D12" s="39"/>
      <c r="E12" s="17">
        <v>1</v>
      </c>
      <c r="F12" s="17" t="s">
        <v>71</v>
      </c>
      <c r="G12" s="37">
        <v>45987</v>
      </c>
      <c r="H12" s="37">
        <v>45993</v>
      </c>
      <c r="I12" s="41"/>
      <c r="J12" s="20"/>
      <c r="K12" s="20"/>
      <c r="L12" s="20"/>
      <c r="O12" s="43"/>
    </row>
    <row r="13" spans="1:15">
      <c r="A13" s="12">
        <v>5</v>
      </c>
      <c r="B13" s="12"/>
      <c r="C13" s="21"/>
      <c r="D13" s="39"/>
      <c r="E13" s="17">
        <v>1</v>
      </c>
      <c r="F13" s="17" t="s">
        <v>71</v>
      </c>
      <c r="G13" s="37">
        <v>45987</v>
      </c>
      <c r="H13" s="37">
        <v>45993</v>
      </c>
      <c r="I13" s="41"/>
      <c r="J13" s="22"/>
      <c r="K13" s="23"/>
      <c r="L13" s="23"/>
      <c r="O13" s="43"/>
    </row>
    <row r="14" spans="1:15">
      <c r="A14" s="12">
        <v>6</v>
      </c>
      <c r="B14" s="12"/>
      <c r="C14" s="21"/>
      <c r="D14" s="17"/>
      <c r="E14" s="16">
        <v>1</v>
      </c>
      <c r="F14" s="17" t="s">
        <v>73</v>
      </c>
      <c r="G14" s="37">
        <v>45988</v>
      </c>
      <c r="H14" s="37">
        <v>45993</v>
      </c>
      <c r="I14" s="41"/>
      <c r="J14" s="22"/>
      <c r="K14" s="23"/>
      <c r="L14" s="23"/>
      <c r="O14" s="43"/>
    </row>
    <row r="15" spans="1:15">
      <c r="A15" s="12">
        <v>7</v>
      </c>
      <c r="B15" s="20"/>
      <c r="C15" s="20"/>
      <c r="D15" s="39"/>
      <c r="E15" s="17">
        <v>1</v>
      </c>
      <c r="F15" s="17" t="s">
        <v>71</v>
      </c>
      <c r="G15" s="37">
        <v>45987</v>
      </c>
      <c r="H15" s="37">
        <v>45993</v>
      </c>
      <c r="I15" s="41"/>
      <c r="J15" s="22"/>
      <c r="K15" s="23"/>
      <c r="L15" s="20"/>
      <c r="O15" s="43"/>
    </row>
    <row r="16" spans="1:15">
      <c r="A16" s="12">
        <v>8</v>
      </c>
      <c r="B16" s="20"/>
      <c r="C16" s="20"/>
      <c r="D16" s="39"/>
      <c r="E16" s="17">
        <v>1</v>
      </c>
      <c r="F16" s="17" t="s">
        <v>71</v>
      </c>
      <c r="G16" s="37">
        <v>45987</v>
      </c>
      <c r="H16" s="37">
        <v>45993</v>
      </c>
      <c r="I16" s="41"/>
      <c r="J16" s="20"/>
      <c r="K16" s="20"/>
      <c r="L16" s="23"/>
      <c r="O16" s="43"/>
    </row>
    <row r="17" spans="1:15">
      <c r="A17" s="12">
        <v>9</v>
      </c>
      <c r="B17" s="20"/>
      <c r="C17" s="20"/>
      <c r="D17" s="49"/>
      <c r="E17" s="17" t="s">
        <v>102</v>
      </c>
      <c r="F17" s="17" t="s">
        <v>73</v>
      </c>
      <c r="G17" s="37"/>
      <c r="H17" s="37"/>
      <c r="I17" s="41"/>
      <c r="J17" s="22"/>
      <c r="K17" s="23"/>
      <c r="L17" s="23"/>
      <c r="O17" s="43"/>
    </row>
    <row r="18" spans="1:15">
      <c r="A18" s="12">
        <v>10</v>
      </c>
      <c r="B18" s="20"/>
      <c r="C18" s="20"/>
      <c r="D18" s="39"/>
      <c r="E18" s="17">
        <v>1</v>
      </c>
      <c r="F18" s="17" t="s">
        <v>71</v>
      </c>
      <c r="G18" s="37">
        <v>45987</v>
      </c>
      <c r="H18" s="37">
        <v>45993</v>
      </c>
      <c r="I18" s="41"/>
      <c r="J18" s="22"/>
      <c r="K18" s="23"/>
      <c r="L18" s="20"/>
      <c r="O18" s="43"/>
    </row>
    <row r="19" spans="1:15">
      <c r="A19" s="12">
        <v>11</v>
      </c>
      <c r="B19" s="20"/>
      <c r="C19" s="20"/>
      <c r="D19" s="39"/>
      <c r="E19" s="17">
        <v>3</v>
      </c>
      <c r="F19" s="17" t="s">
        <v>71</v>
      </c>
      <c r="G19" s="37">
        <v>45987</v>
      </c>
      <c r="H19" s="37">
        <v>45993</v>
      </c>
      <c r="I19" s="41"/>
      <c r="J19" s="20"/>
      <c r="K19" s="20"/>
      <c r="L19" s="20"/>
      <c r="O19" s="43"/>
    </row>
    <row r="20" spans="1:15">
      <c r="A20" s="12">
        <v>12</v>
      </c>
      <c r="B20" s="20"/>
      <c r="C20" s="20"/>
      <c r="D20" s="39"/>
      <c r="E20" s="17">
        <v>1</v>
      </c>
      <c r="F20" s="17" t="s">
        <v>73</v>
      </c>
      <c r="G20" s="37">
        <v>45988</v>
      </c>
      <c r="H20" s="37">
        <v>45993</v>
      </c>
      <c r="I20" s="41"/>
      <c r="J20" s="22"/>
      <c r="K20" s="20"/>
      <c r="L20" s="23"/>
      <c r="O20" s="43"/>
    </row>
    <row r="21" spans="1:15">
      <c r="A21" s="12">
        <v>13</v>
      </c>
      <c r="B21" s="20"/>
      <c r="C21" s="20"/>
      <c r="D21" s="39"/>
      <c r="E21" s="17" t="s">
        <v>93</v>
      </c>
      <c r="F21" s="17" t="s">
        <v>73</v>
      </c>
      <c r="G21" s="37">
        <v>45988</v>
      </c>
      <c r="H21" s="37">
        <v>45993</v>
      </c>
      <c r="I21" s="41"/>
      <c r="J21" s="20"/>
      <c r="K21" s="20"/>
      <c r="L21" s="23"/>
      <c r="O21" s="43"/>
    </row>
    <row r="22" spans="1:15">
      <c r="A22" s="12">
        <v>14</v>
      </c>
      <c r="B22" s="20"/>
      <c r="C22" s="20"/>
      <c r="D22" s="39"/>
      <c r="E22" s="17">
        <v>1</v>
      </c>
      <c r="F22" s="17" t="s">
        <v>71</v>
      </c>
      <c r="G22" s="37">
        <v>45987</v>
      </c>
      <c r="H22" s="37">
        <v>45993</v>
      </c>
      <c r="I22" s="41"/>
      <c r="J22" s="22"/>
      <c r="K22" s="23"/>
      <c r="L22" s="20"/>
      <c r="O22" s="43"/>
    </row>
    <row r="23" spans="1:15">
      <c r="A23" s="12">
        <v>15</v>
      </c>
      <c r="B23" s="20"/>
      <c r="C23" s="20"/>
      <c r="D23" s="39"/>
      <c r="E23" s="17">
        <v>1</v>
      </c>
      <c r="F23" s="17" t="s">
        <v>71</v>
      </c>
      <c r="G23" s="37">
        <v>45988</v>
      </c>
      <c r="H23" s="37">
        <v>45993</v>
      </c>
      <c r="I23" s="41"/>
      <c r="J23" s="20"/>
      <c r="K23" s="20"/>
      <c r="L23" s="20"/>
      <c r="O23" s="43"/>
    </row>
    <row r="24" spans="1:15">
      <c r="A24" s="12">
        <v>16</v>
      </c>
      <c r="B24" s="20"/>
      <c r="C24" s="20"/>
      <c r="D24" s="54"/>
      <c r="E24" s="17">
        <v>1</v>
      </c>
      <c r="F24" s="17" t="s">
        <v>71</v>
      </c>
      <c r="G24" s="37">
        <v>45987</v>
      </c>
      <c r="H24" s="37">
        <v>45993</v>
      </c>
      <c r="I24" s="41"/>
      <c r="J24" s="22"/>
      <c r="K24" s="23"/>
      <c r="L24" s="23"/>
      <c r="O24" s="43"/>
    </row>
    <row r="25" spans="1:15">
      <c r="A25" s="12">
        <v>17</v>
      </c>
      <c r="B25" s="20"/>
      <c r="C25" s="20"/>
      <c r="D25" s="20"/>
      <c r="E25" s="17"/>
      <c r="F25" s="17"/>
      <c r="G25" s="37"/>
      <c r="H25" s="37"/>
      <c r="I25" s="41"/>
      <c r="J25" s="22"/>
      <c r="K25" s="23"/>
      <c r="L25" s="23"/>
      <c r="O25" s="42"/>
    </row>
  </sheetData>
  <sortState ref="B10:I25">
    <sortCondition ref="B9"/>
  </sortState>
  <mergeCells count="4">
    <mergeCell ref="A1:L1"/>
    <mergeCell ref="A2:L2"/>
    <mergeCell ref="F3:H3"/>
    <mergeCell ref="C5:E5"/>
  </mergeCells>
  <phoneticPr fontId="9" type="noConversion"/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0BE90D57-436B-4D2D-8E45-A0D9353E6888}">
          <x14:formula1>
            <xm:f>#REF!</xm:f>
          </x14:formula1>
          <xm:sqref>C9:C25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42"/>
  <sheetViews>
    <sheetView zoomScale="98" zoomScaleNormal="45" workbookViewId="0">
      <selection activeCell="J17" sqref="J17"/>
    </sheetView>
  </sheetViews>
  <sheetFormatPr defaultRowHeight="14.25"/>
  <cols>
    <col min="1" max="1" width="4.125" customWidth="1"/>
    <col min="2" max="2" width="23.375" customWidth="1"/>
    <col min="3" max="3" width="9.375" customWidth="1"/>
    <col min="4" max="4" width="6.5" customWidth="1"/>
    <col min="5" max="5" width="7.875" customWidth="1"/>
    <col min="6" max="6" width="13.125" customWidth="1"/>
    <col min="7" max="7" width="10.25" customWidth="1"/>
    <col min="8" max="8" width="9.375" customWidth="1"/>
    <col min="9" max="9" width="10.125" customWidth="1"/>
    <col min="10" max="10" width="8.5" customWidth="1"/>
  </cols>
  <sheetData>
    <row r="1" spans="1:18" ht="22.5">
      <c r="A1" s="115">
        <v>45994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8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8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8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8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8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8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8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>
        <v>7</v>
      </c>
    </row>
    <row r="9" spans="1:18">
      <c r="A9" s="12">
        <v>1</v>
      </c>
      <c r="B9" s="44"/>
      <c r="C9" s="50"/>
      <c r="D9" s="46"/>
      <c r="E9" s="17">
        <v>1</v>
      </c>
      <c r="F9" s="17" t="s">
        <v>73</v>
      </c>
      <c r="G9" s="37">
        <v>45989</v>
      </c>
      <c r="H9" s="37">
        <v>45994</v>
      </c>
      <c r="I9" s="49" t="s">
        <v>100</v>
      </c>
      <c r="J9" s="20"/>
      <c r="K9" s="20"/>
      <c r="L9" s="20"/>
      <c r="O9" s="43"/>
      <c r="Q9" s="43"/>
      <c r="R9" s="43"/>
    </row>
    <row r="10" spans="1:18">
      <c r="A10" s="12">
        <v>2</v>
      </c>
      <c r="B10" s="20"/>
      <c r="C10" s="20"/>
      <c r="D10" s="39"/>
      <c r="E10" s="17">
        <v>1</v>
      </c>
      <c r="F10" s="17" t="s">
        <v>96</v>
      </c>
      <c r="G10" s="37">
        <v>45989</v>
      </c>
      <c r="H10" s="37">
        <v>45994</v>
      </c>
      <c r="I10" s="19" t="s">
        <v>89</v>
      </c>
      <c r="J10" s="22"/>
      <c r="K10" s="23"/>
      <c r="L10" s="23"/>
      <c r="O10" s="43"/>
      <c r="Q10" s="43"/>
      <c r="R10" s="43"/>
    </row>
    <row r="11" spans="1:18">
      <c r="A11" s="44">
        <v>3</v>
      </c>
      <c r="B11" s="20"/>
      <c r="C11" s="20"/>
      <c r="D11" s="39"/>
      <c r="E11" s="17" t="s">
        <v>93</v>
      </c>
      <c r="F11" s="17" t="s">
        <v>96</v>
      </c>
      <c r="G11" s="37">
        <v>45989</v>
      </c>
      <c r="H11" s="37">
        <v>45994</v>
      </c>
      <c r="I11" s="19" t="s">
        <v>89</v>
      </c>
      <c r="J11" s="20"/>
      <c r="K11" s="20"/>
      <c r="L11" s="20"/>
      <c r="O11" s="43"/>
      <c r="Q11" s="43"/>
      <c r="R11" s="43"/>
    </row>
    <row r="12" spans="1:18">
      <c r="A12" s="44">
        <v>4</v>
      </c>
      <c r="B12" s="20"/>
      <c r="C12" s="20"/>
      <c r="D12" s="39"/>
      <c r="E12" s="17">
        <v>1</v>
      </c>
      <c r="F12" s="17" t="s">
        <v>73</v>
      </c>
      <c r="G12" s="37">
        <v>45988</v>
      </c>
      <c r="H12" s="37">
        <v>45994</v>
      </c>
      <c r="I12" s="19" t="s">
        <v>89</v>
      </c>
      <c r="J12" s="20"/>
      <c r="K12" s="20"/>
      <c r="L12" s="20"/>
      <c r="O12" s="43"/>
      <c r="Q12" s="43"/>
      <c r="R12" s="43"/>
    </row>
    <row r="13" spans="1:18">
      <c r="A13" s="44">
        <v>5</v>
      </c>
      <c r="B13" s="20"/>
      <c r="C13" s="20"/>
      <c r="D13" s="49"/>
      <c r="E13" s="17">
        <v>1</v>
      </c>
      <c r="F13" s="17" t="s">
        <v>73</v>
      </c>
      <c r="G13" s="37">
        <v>45989</v>
      </c>
      <c r="H13" s="37">
        <v>45994</v>
      </c>
      <c r="I13" s="49" t="s">
        <v>100</v>
      </c>
      <c r="J13" s="22"/>
      <c r="K13" s="23"/>
      <c r="L13" s="23"/>
      <c r="O13" s="43"/>
      <c r="Q13" s="43"/>
      <c r="R13" s="43"/>
    </row>
    <row r="14" spans="1:18">
      <c r="A14" s="44">
        <v>6</v>
      </c>
      <c r="B14" s="20"/>
      <c r="C14" s="20"/>
      <c r="D14" s="49"/>
      <c r="E14" s="17">
        <v>1</v>
      </c>
      <c r="F14" s="17" t="s">
        <v>75</v>
      </c>
      <c r="G14" s="37">
        <v>45988</v>
      </c>
      <c r="H14" s="37">
        <v>45994</v>
      </c>
      <c r="I14" s="19" t="s">
        <v>89</v>
      </c>
      <c r="J14" s="49"/>
      <c r="K14" s="49"/>
      <c r="L14" s="49"/>
      <c r="O14" s="43"/>
    </row>
    <row r="15" spans="1:18">
      <c r="A15" s="44">
        <v>7</v>
      </c>
      <c r="B15" s="20"/>
      <c r="C15" s="20"/>
      <c r="D15" s="39"/>
      <c r="E15" s="46">
        <v>1</v>
      </c>
      <c r="F15" s="17" t="s">
        <v>71</v>
      </c>
      <c r="G15" s="37">
        <v>45988</v>
      </c>
      <c r="H15" s="37">
        <v>45994</v>
      </c>
      <c r="I15" s="19" t="s">
        <v>89</v>
      </c>
      <c r="J15" s="20"/>
      <c r="K15" s="20"/>
      <c r="L15" s="20"/>
      <c r="O15" s="43"/>
    </row>
    <row r="16" spans="1:18">
      <c r="A16" s="44">
        <v>8</v>
      </c>
      <c r="B16" s="44"/>
      <c r="C16" s="50"/>
      <c r="D16" s="46"/>
      <c r="E16" s="17">
        <v>1</v>
      </c>
      <c r="F16" s="17" t="s">
        <v>92</v>
      </c>
      <c r="G16" s="37">
        <v>45989</v>
      </c>
      <c r="H16" s="37">
        <v>45994</v>
      </c>
      <c r="I16" s="49" t="s">
        <v>100</v>
      </c>
      <c r="J16" s="49"/>
      <c r="K16" s="49"/>
      <c r="L16" s="49"/>
      <c r="O16" s="43"/>
    </row>
    <row r="17" spans="1:15">
      <c r="A17" s="44">
        <v>9</v>
      </c>
      <c r="B17" s="44"/>
      <c r="C17" s="50"/>
      <c r="D17" s="46"/>
      <c r="E17" s="17">
        <v>2</v>
      </c>
      <c r="F17" s="17" t="s">
        <v>92</v>
      </c>
      <c r="G17" s="37">
        <v>45989</v>
      </c>
      <c r="H17" s="37">
        <v>45994</v>
      </c>
      <c r="I17" s="49" t="s">
        <v>100</v>
      </c>
      <c r="J17" s="49"/>
      <c r="K17" s="49"/>
      <c r="L17" s="49"/>
      <c r="O17" s="43"/>
    </row>
    <row r="18" spans="1:15">
      <c r="A18" s="44">
        <v>10</v>
      </c>
      <c r="B18" s="20"/>
      <c r="C18" s="49"/>
      <c r="D18" s="39"/>
      <c r="E18" s="46">
        <v>1</v>
      </c>
      <c r="F18" s="17" t="s">
        <v>73</v>
      </c>
      <c r="G18" s="37">
        <v>45988</v>
      </c>
      <c r="H18" s="37">
        <v>45994</v>
      </c>
      <c r="I18" s="19" t="s">
        <v>89</v>
      </c>
      <c r="J18" s="51"/>
      <c r="K18" s="52"/>
      <c r="L18" s="52"/>
      <c r="O18" s="43"/>
    </row>
    <row r="19" spans="1:15">
      <c r="A19" s="44">
        <v>11</v>
      </c>
      <c r="B19" s="20"/>
      <c r="C19" s="20"/>
      <c r="D19" s="46"/>
      <c r="E19" s="17">
        <v>1</v>
      </c>
      <c r="F19" s="17" t="s">
        <v>75</v>
      </c>
      <c r="G19" s="37">
        <v>45988</v>
      </c>
      <c r="H19" s="37">
        <v>45994</v>
      </c>
      <c r="I19" s="19" t="s">
        <v>89</v>
      </c>
      <c r="J19" s="22"/>
      <c r="K19" s="52"/>
      <c r="L19" s="52"/>
      <c r="O19" s="43"/>
    </row>
    <row r="20" spans="1:15">
      <c r="A20" s="44">
        <v>12</v>
      </c>
      <c r="B20" s="20"/>
      <c r="C20" s="20"/>
      <c r="D20" s="54"/>
      <c r="E20" s="45" t="s">
        <v>93</v>
      </c>
      <c r="F20" s="17" t="s">
        <v>94</v>
      </c>
      <c r="G20" s="37">
        <v>45988</v>
      </c>
      <c r="H20" s="37">
        <v>45994</v>
      </c>
      <c r="I20" s="19" t="s">
        <v>89</v>
      </c>
      <c r="J20" s="49"/>
      <c r="K20" s="49"/>
      <c r="L20" s="49"/>
      <c r="O20" s="43"/>
    </row>
    <row r="21" spans="1:15">
      <c r="A21" s="44">
        <v>13</v>
      </c>
      <c r="B21" s="20"/>
      <c r="C21" s="20"/>
      <c r="D21" s="54"/>
      <c r="E21" s="17">
        <v>1</v>
      </c>
      <c r="F21" s="17" t="s">
        <v>71</v>
      </c>
      <c r="G21" s="37">
        <v>45988</v>
      </c>
      <c r="H21" s="37">
        <v>45994</v>
      </c>
      <c r="I21" s="19" t="s">
        <v>89</v>
      </c>
      <c r="J21" s="22"/>
      <c r="K21" s="23"/>
      <c r="L21" s="23"/>
      <c r="O21" s="43"/>
    </row>
    <row r="22" spans="1:15">
      <c r="A22" s="44">
        <v>14</v>
      </c>
      <c r="B22" s="20"/>
      <c r="C22" s="20"/>
      <c r="D22" s="54"/>
      <c r="E22" s="17">
        <v>1</v>
      </c>
      <c r="F22" s="17" t="s">
        <v>71</v>
      </c>
      <c r="G22" s="37">
        <v>45988</v>
      </c>
      <c r="H22" s="37">
        <v>45994</v>
      </c>
      <c r="I22" s="19" t="s">
        <v>89</v>
      </c>
      <c r="J22" s="51"/>
      <c r="K22" s="52"/>
      <c r="L22" s="52"/>
      <c r="O22" s="43"/>
    </row>
    <row r="23" spans="1:15">
      <c r="A23" s="44">
        <v>15</v>
      </c>
      <c r="B23" s="44"/>
      <c r="C23" s="50"/>
      <c r="D23" s="46"/>
      <c r="E23" s="17">
        <v>1</v>
      </c>
      <c r="F23" s="17" t="s">
        <v>73</v>
      </c>
      <c r="G23" s="37">
        <v>45989</v>
      </c>
      <c r="H23" s="37">
        <v>45994</v>
      </c>
      <c r="I23" s="49" t="s">
        <v>100</v>
      </c>
      <c r="J23" s="20"/>
      <c r="K23" s="20"/>
      <c r="L23" s="20"/>
      <c r="O23" s="43"/>
    </row>
    <row r="24" spans="1:15">
      <c r="A24" s="44">
        <v>16</v>
      </c>
      <c r="B24" s="44"/>
      <c r="C24" s="50"/>
      <c r="D24" s="46"/>
      <c r="E24" s="45" t="s">
        <v>101</v>
      </c>
      <c r="F24" s="17" t="s">
        <v>73</v>
      </c>
      <c r="G24" s="37">
        <v>45989</v>
      </c>
      <c r="H24" s="37">
        <v>45994</v>
      </c>
      <c r="I24" s="49" t="s">
        <v>100</v>
      </c>
      <c r="J24" s="49"/>
      <c r="K24" s="49"/>
      <c r="L24" s="49"/>
      <c r="O24" s="43"/>
    </row>
    <row r="25" spans="1:15">
      <c r="A25" s="44">
        <v>17</v>
      </c>
      <c r="B25" s="44"/>
      <c r="C25" s="50"/>
      <c r="D25" s="17"/>
      <c r="E25" s="45" t="s">
        <v>98</v>
      </c>
      <c r="F25" s="17" t="s">
        <v>106</v>
      </c>
      <c r="G25" s="47"/>
      <c r="H25" s="47"/>
      <c r="I25" s="49"/>
      <c r="J25" s="49"/>
      <c r="K25" s="49"/>
      <c r="L25" s="49"/>
      <c r="O25" s="43"/>
    </row>
    <row r="26" spans="1:15">
      <c r="A26" s="44">
        <v>18</v>
      </c>
      <c r="B26" s="44"/>
      <c r="C26" s="14"/>
      <c r="D26" s="15"/>
      <c r="E26" s="17">
        <v>1</v>
      </c>
      <c r="F26" s="17" t="s">
        <v>75</v>
      </c>
      <c r="G26" s="37">
        <v>45989</v>
      </c>
      <c r="H26" s="37">
        <v>45994</v>
      </c>
      <c r="I26" s="49" t="s">
        <v>100</v>
      </c>
      <c r="J26" s="49"/>
      <c r="K26" s="49"/>
      <c r="L26" s="49"/>
      <c r="O26" s="43"/>
    </row>
    <row r="27" spans="1:15">
      <c r="A27" s="44">
        <v>19</v>
      </c>
      <c r="B27" s="44"/>
      <c r="C27" s="14"/>
      <c r="D27" s="46"/>
      <c r="E27" s="45" t="s">
        <v>101</v>
      </c>
      <c r="F27" s="17" t="s">
        <v>73</v>
      </c>
      <c r="G27" s="37">
        <v>45989</v>
      </c>
      <c r="H27" s="37">
        <v>45994</v>
      </c>
      <c r="I27" s="49" t="s">
        <v>100</v>
      </c>
      <c r="J27" s="20"/>
      <c r="K27" s="20"/>
      <c r="L27" s="20"/>
      <c r="O27" s="43"/>
    </row>
    <row r="28" spans="1:15">
      <c r="A28" s="44">
        <v>20</v>
      </c>
      <c r="B28" s="44"/>
      <c r="C28" s="50"/>
      <c r="D28" s="54"/>
      <c r="E28" s="17">
        <v>1</v>
      </c>
      <c r="F28" s="17" t="s">
        <v>71</v>
      </c>
      <c r="G28" s="37">
        <v>45988</v>
      </c>
      <c r="H28" s="37">
        <v>45994</v>
      </c>
      <c r="I28" s="19" t="s">
        <v>97</v>
      </c>
      <c r="J28" s="22"/>
      <c r="K28" s="23"/>
      <c r="L28" s="23"/>
      <c r="O28" s="43"/>
    </row>
    <row r="29" spans="1:15">
      <c r="A29" s="44">
        <v>21</v>
      </c>
      <c r="B29" s="20"/>
      <c r="C29" s="20"/>
      <c r="D29" s="54"/>
      <c r="E29" s="45" t="s">
        <v>93</v>
      </c>
      <c r="F29" s="17" t="s">
        <v>94</v>
      </c>
      <c r="G29" s="37">
        <v>45988</v>
      </c>
      <c r="H29" s="37">
        <v>45994</v>
      </c>
      <c r="I29" s="48" t="s">
        <v>89</v>
      </c>
      <c r="J29" s="49"/>
      <c r="K29" s="49" t="s">
        <v>148</v>
      </c>
      <c r="L29" s="49"/>
      <c r="O29" s="43"/>
    </row>
    <row r="30" spans="1:15">
      <c r="A30" s="44">
        <v>22</v>
      </c>
      <c r="B30" s="20"/>
      <c r="C30" s="20"/>
      <c r="D30" s="20"/>
      <c r="E30" s="46" t="s">
        <v>98</v>
      </c>
      <c r="F30" s="69" t="s">
        <v>146</v>
      </c>
      <c r="G30" s="75">
        <v>45993</v>
      </c>
      <c r="H30" s="53">
        <v>45994</v>
      </c>
      <c r="I30" s="48" t="s">
        <v>147</v>
      </c>
      <c r="J30" s="69"/>
      <c r="K30" s="20"/>
      <c r="L30" s="20"/>
      <c r="O30" s="43"/>
    </row>
    <row r="31" spans="1:15">
      <c r="A31" s="44">
        <v>23</v>
      </c>
      <c r="B31" s="49"/>
      <c r="C31" s="49"/>
      <c r="D31" s="69"/>
      <c r="E31" s="46">
        <v>1</v>
      </c>
      <c r="F31" s="46" t="s">
        <v>75</v>
      </c>
      <c r="G31" s="53">
        <v>45988</v>
      </c>
      <c r="H31" s="53">
        <v>45994</v>
      </c>
      <c r="I31" s="48" t="s">
        <v>89</v>
      </c>
      <c r="J31" s="22"/>
      <c r="K31" s="69"/>
      <c r="L31" s="23"/>
      <c r="O31" s="43"/>
    </row>
    <row r="32" spans="1:15">
      <c r="A32" s="44">
        <v>24</v>
      </c>
      <c r="B32" s="49"/>
      <c r="C32" s="49"/>
      <c r="D32" s="17"/>
      <c r="E32" s="46">
        <v>1</v>
      </c>
      <c r="F32" s="46" t="s">
        <v>75</v>
      </c>
      <c r="G32" s="53">
        <v>45988</v>
      </c>
      <c r="H32" s="53">
        <v>45994</v>
      </c>
      <c r="I32" s="48" t="s">
        <v>89</v>
      </c>
      <c r="J32" s="51"/>
      <c r="K32" s="52"/>
      <c r="L32" s="52"/>
      <c r="O32" s="43"/>
    </row>
    <row r="33" spans="1:15">
      <c r="A33" s="44">
        <v>25</v>
      </c>
      <c r="B33" s="49"/>
      <c r="C33" s="49"/>
      <c r="D33" s="66"/>
      <c r="E33" s="46">
        <v>1</v>
      </c>
      <c r="F33" s="46" t="s">
        <v>75</v>
      </c>
      <c r="G33" s="53">
        <v>45988</v>
      </c>
      <c r="H33" s="53">
        <v>45994</v>
      </c>
      <c r="I33" s="48" t="s">
        <v>89</v>
      </c>
      <c r="J33" s="71"/>
      <c r="K33" s="72"/>
      <c r="L33" s="20"/>
      <c r="O33" s="43"/>
    </row>
    <row r="34" spans="1:15">
      <c r="A34" s="44">
        <v>26</v>
      </c>
      <c r="B34" s="49"/>
      <c r="C34" s="49"/>
      <c r="D34" s="49"/>
      <c r="E34" s="46">
        <v>1</v>
      </c>
      <c r="F34" s="46" t="s">
        <v>92</v>
      </c>
      <c r="G34" s="53">
        <v>45988</v>
      </c>
      <c r="H34" s="53">
        <v>45994</v>
      </c>
      <c r="I34" s="48" t="s">
        <v>89</v>
      </c>
      <c r="J34" s="20"/>
      <c r="K34" s="20"/>
      <c r="L34" s="20"/>
      <c r="O34" s="43"/>
    </row>
    <row r="35" spans="1:15">
      <c r="A35" s="44">
        <v>27</v>
      </c>
      <c r="B35" s="49"/>
      <c r="C35" s="49"/>
      <c r="D35" s="49"/>
      <c r="E35" s="46">
        <v>2</v>
      </c>
      <c r="F35" s="17" t="s">
        <v>92</v>
      </c>
      <c r="G35" s="53">
        <v>45988</v>
      </c>
      <c r="H35" s="53">
        <v>45994</v>
      </c>
      <c r="I35" s="48" t="s">
        <v>89</v>
      </c>
      <c r="J35" s="69"/>
      <c r="K35" s="69"/>
      <c r="L35" s="52"/>
      <c r="O35" s="43"/>
    </row>
    <row r="36" spans="1:15">
      <c r="A36" s="44">
        <v>28</v>
      </c>
      <c r="B36" s="49"/>
      <c r="C36" s="49"/>
      <c r="D36" s="69"/>
      <c r="E36" s="46">
        <v>1</v>
      </c>
      <c r="F36" s="46" t="s">
        <v>92</v>
      </c>
      <c r="G36" s="53">
        <v>45988</v>
      </c>
      <c r="H36" s="53">
        <v>45994</v>
      </c>
      <c r="I36" s="48" t="s">
        <v>89</v>
      </c>
      <c r="J36" s="51"/>
      <c r="K36" s="52"/>
      <c r="L36" s="52"/>
      <c r="O36" s="43"/>
    </row>
    <row r="37" spans="1:15">
      <c r="A37" s="44">
        <v>29</v>
      </c>
      <c r="B37" s="49"/>
      <c r="C37" s="49"/>
      <c r="D37" s="66"/>
      <c r="E37" s="46">
        <v>2</v>
      </c>
      <c r="F37" s="46" t="s">
        <v>125</v>
      </c>
      <c r="G37" s="53">
        <v>45988</v>
      </c>
      <c r="H37" s="53">
        <v>45994</v>
      </c>
      <c r="I37" s="48" t="s">
        <v>89</v>
      </c>
      <c r="J37" s="51"/>
      <c r="K37" s="52"/>
      <c r="L37" s="52"/>
      <c r="O37" s="43"/>
    </row>
    <row r="38" spans="1:15">
      <c r="A38" s="44">
        <v>30</v>
      </c>
      <c r="B38" s="49"/>
      <c r="C38" s="49"/>
      <c r="D38" s="49"/>
      <c r="E38" s="46">
        <v>1</v>
      </c>
      <c r="F38" s="46" t="s">
        <v>92</v>
      </c>
      <c r="G38" s="53">
        <v>45989</v>
      </c>
      <c r="H38" s="53">
        <v>45994</v>
      </c>
      <c r="I38" s="48" t="s">
        <v>97</v>
      </c>
      <c r="J38" s="71"/>
      <c r="K38" s="72"/>
      <c r="L38" s="20"/>
      <c r="O38" s="43"/>
    </row>
    <row r="39" spans="1:15">
      <c r="A39" s="44">
        <v>31</v>
      </c>
      <c r="B39" s="49"/>
      <c r="C39" s="49"/>
      <c r="D39" s="49"/>
      <c r="E39" s="46">
        <v>2</v>
      </c>
      <c r="F39" s="17" t="s">
        <v>92</v>
      </c>
      <c r="G39" s="53">
        <v>45989</v>
      </c>
      <c r="H39" s="53">
        <v>45994</v>
      </c>
      <c r="I39" s="48" t="s">
        <v>97</v>
      </c>
      <c r="J39" s="69"/>
      <c r="K39" s="69"/>
      <c r="L39" s="52"/>
    </row>
    <row r="40" spans="1:15">
      <c r="A40" s="44">
        <v>32</v>
      </c>
      <c r="B40" s="20"/>
      <c r="C40" s="20"/>
      <c r="D40" s="20"/>
      <c r="E40" s="66">
        <v>1</v>
      </c>
      <c r="F40" s="66" t="s">
        <v>71</v>
      </c>
      <c r="G40" s="73">
        <v>45988</v>
      </c>
      <c r="H40" s="73">
        <v>45994</v>
      </c>
      <c r="I40" s="68" t="s">
        <v>89</v>
      </c>
      <c r="J40" s="71"/>
      <c r="K40" s="72"/>
      <c r="L40" s="20"/>
    </row>
    <row r="41" spans="1:15">
      <c r="A41" s="44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5">
      <c r="A42" s="44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</sheetData>
  <sortState ref="B9:K42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showErrorMessage="1" errorTitle="Please Check Entry" error="It is recommended to pick a course from the list." xr:uid="{BE7CB26D-3C51-40A0-A223-80F8AE2CEF9A}">
          <x14:formula1>
            <xm:f>#REF!</xm:f>
          </x14:formula1>
          <xm:sqref>C22:C23</xm:sqref>
        </x14:dataValidation>
        <x14:dataValidation type="list" errorStyle="information" allowBlank="1" showInputMessage="1" showErrorMessage="1" errorTitle="Please Check Entry" error="It is recommended to pick a course from the list." xr:uid="{6DA02549-809E-451B-A1A8-A20124FC6BCF}">
          <x14:formula1>
            <xm:f>#REF!</xm:f>
          </x14:formula1>
          <xm:sqref>C24:C42</xm:sqref>
        </x14:dataValidation>
        <x14:dataValidation type="list" errorStyle="information" allowBlank="1" showInputMessage="1" showErrorMessage="1" errorTitle="Please Check Entry" error="It is recommended to pick a course from the list." xr:uid="{D1024372-032B-4F51-8222-ED7051E499C8}">
          <x14:formula1>
            <xm:f>#REF!</xm:f>
          </x14:formula1>
          <xm:sqref>C9:C21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96"/>
  <sheetViews>
    <sheetView zoomScale="98" zoomScaleNormal="45" workbookViewId="0">
      <selection activeCell="D18" sqref="D18"/>
    </sheetView>
  </sheetViews>
  <sheetFormatPr defaultRowHeight="14.25"/>
  <cols>
    <col min="1" max="1" width="4.125" customWidth="1"/>
    <col min="2" max="2" width="23.375" customWidth="1"/>
    <col min="3" max="3" width="10" customWidth="1"/>
    <col min="4" max="4" width="8.125" customWidth="1"/>
    <col min="5" max="5" width="7.75" customWidth="1"/>
    <col min="6" max="7" width="14.125" customWidth="1"/>
    <col min="8" max="8" width="10.625" customWidth="1"/>
    <col min="9" max="9" width="8.125" customWidth="1"/>
  </cols>
  <sheetData>
    <row r="1" spans="1:18" ht="22.5">
      <c r="A1" s="115">
        <v>45995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8">
      <c r="A2" s="116"/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8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8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8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8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8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8" ht="105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8">
      <c r="A9" s="12">
        <v>1</v>
      </c>
      <c r="B9" s="49"/>
      <c r="C9" s="21" t="s">
        <v>64</v>
      </c>
      <c r="D9" s="54" t="s">
        <v>72</v>
      </c>
      <c r="E9" s="16">
        <v>1</v>
      </c>
      <c r="F9" s="17" t="s">
        <v>71</v>
      </c>
      <c r="G9" s="18">
        <v>45989</v>
      </c>
      <c r="H9" s="37">
        <v>45995</v>
      </c>
      <c r="I9" s="48" t="s">
        <v>89</v>
      </c>
      <c r="J9" s="51"/>
      <c r="K9" s="52"/>
      <c r="L9" s="52"/>
      <c r="O9" s="43" t="e">
        <f>VLOOKUP(C9,#REF!,2,0)</f>
        <v>#REF!</v>
      </c>
      <c r="P9" s="43"/>
      <c r="Q9" s="43" t="s">
        <v>78</v>
      </c>
      <c r="R9" s="43">
        <f>COUNTIF(O:O,Q9)</f>
        <v>0</v>
      </c>
    </row>
    <row r="10" spans="1:18">
      <c r="A10" s="12">
        <v>2</v>
      </c>
      <c r="B10" s="20"/>
      <c r="C10" s="50" t="s">
        <v>65</v>
      </c>
      <c r="D10" s="54" t="s">
        <v>72</v>
      </c>
      <c r="E10" s="45">
        <v>1</v>
      </c>
      <c r="F10" s="46" t="s">
        <v>73</v>
      </c>
      <c r="G10" s="47">
        <v>45989</v>
      </c>
      <c r="H10" s="53">
        <v>45995</v>
      </c>
      <c r="I10" s="48" t="s">
        <v>89</v>
      </c>
      <c r="J10" s="49"/>
      <c r="K10" s="49"/>
      <c r="L10" s="49"/>
      <c r="O10" s="43" t="e">
        <f>VLOOKUP(C10,#REF!,2,0)</f>
        <v>#REF!</v>
      </c>
      <c r="P10" s="43"/>
      <c r="Q10" s="43" t="s">
        <v>79</v>
      </c>
      <c r="R10" s="43">
        <f>COUNTIF(O:O,Q10)</f>
        <v>1</v>
      </c>
    </row>
    <row r="11" spans="1:18">
      <c r="A11" s="44">
        <v>3</v>
      </c>
      <c r="B11" s="49"/>
      <c r="C11" s="50" t="s">
        <v>67</v>
      </c>
      <c r="D11" s="54" t="s">
        <v>72</v>
      </c>
      <c r="E11" s="45">
        <v>1</v>
      </c>
      <c r="F11" s="46" t="s">
        <v>71</v>
      </c>
      <c r="G11" s="47">
        <v>45989</v>
      </c>
      <c r="H11" s="53">
        <v>45995</v>
      </c>
      <c r="I11" s="48" t="s">
        <v>89</v>
      </c>
      <c r="J11" s="20"/>
      <c r="K11" s="20"/>
      <c r="L11" s="20"/>
      <c r="O11" s="43" t="e">
        <f>VLOOKUP(C11,#REF!,2,0)</f>
        <v>#REF!</v>
      </c>
      <c r="P11" s="43"/>
      <c r="Q11" s="43" t="s">
        <v>80</v>
      </c>
      <c r="R11" s="43">
        <f>COUNTIF(O:O,Q11)</f>
        <v>0</v>
      </c>
    </row>
    <row r="12" spans="1:18">
      <c r="A12" s="44">
        <v>4</v>
      </c>
      <c r="B12" s="20"/>
      <c r="C12" s="50" t="s">
        <v>67</v>
      </c>
      <c r="D12" s="54" t="s">
        <v>72</v>
      </c>
      <c r="E12" s="46">
        <v>1</v>
      </c>
      <c r="F12" s="46" t="s">
        <v>71</v>
      </c>
      <c r="G12" s="53">
        <v>45992</v>
      </c>
      <c r="H12" s="53">
        <v>45995</v>
      </c>
      <c r="I12" s="55" t="str">
        <f>DATEDIF(G12, H12, "D")&amp; " Days"</f>
        <v>3 Days</v>
      </c>
      <c r="J12" s="51"/>
      <c r="K12" s="52"/>
      <c r="L12" s="52"/>
      <c r="O12" s="43" t="e">
        <f>VLOOKUP(C12,#REF!,2,0)</f>
        <v>#REF!</v>
      </c>
      <c r="P12" s="43"/>
      <c r="Q12" s="43"/>
      <c r="R12" s="43"/>
    </row>
    <row r="13" spans="1:18">
      <c r="A13" s="44">
        <v>5</v>
      </c>
      <c r="B13" s="20"/>
      <c r="C13" s="50" t="s">
        <v>59</v>
      </c>
      <c r="D13" s="46"/>
      <c r="E13" s="46">
        <v>1</v>
      </c>
      <c r="F13" s="46" t="s">
        <v>75</v>
      </c>
      <c r="G13" s="47">
        <v>45989</v>
      </c>
      <c r="H13" s="53">
        <v>45995</v>
      </c>
      <c r="I13" s="48" t="s">
        <v>89</v>
      </c>
      <c r="J13" s="22"/>
      <c r="K13" s="49"/>
      <c r="L13" s="49"/>
      <c r="O13" s="43" t="e">
        <f>VLOOKUP(C13,#REF!,2,0)</f>
        <v>#REF!</v>
      </c>
      <c r="P13" s="43"/>
      <c r="Q13" s="43"/>
      <c r="R13" s="43"/>
    </row>
    <row r="14" spans="1:18">
      <c r="A14" s="44">
        <v>6</v>
      </c>
      <c r="B14" s="20"/>
      <c r="C14" s="56" t="s">
        <v>67</v>
      </c>
      <c r="D14" s="46"/>
      <c r="E14" s="46">
        <v>1</v>
      </c>
      <c r="F14" s="46" t="s">
        <v>71</v>
      </c>
      <c r="G14" s="53">
        <v>45992</v>
      </c>
      <c r="H14" s="53">
        <v>45995</v>
      </c>
      <c r="I14" s="55" t="str">
        <f>DATEDIF(G14, H14, "D")&amp; " Days"</f>
        <v>3 Days</v>
      </c>
      <c r="J14" s="22"/>
      <c r="K14" s="23"/>
      <c r="L14" s="23"/>
      <c r="O14" s="43" t="e">
        <f>VLOOKUP(C15,#REF!,2,0)</f>
        <v>#REF!</v>
      </c>
    </row>
    <row r="15" spans="1:18">
      <c r="A15" s="44">
        <v>7</v>
      </c>
      <c r="B15" s="20"/>
      <c r="C15" s="50" t="s">
        <v>62</v>
      </c>
      <c r="D15" s="46"/>
      <c r="E15" s="46">
        <v>1</v>
      </c>
      <c r="F15" s="46" t="s">
        <v>73</v>
      </c>
      <c r="G15" s="53">
        <v>45992</v>
      </c>
      <c r="H15" s="53">
        <v>45995</v>
      </c>
      <c r="I15" s="55" t="str">
        <f>DATEDIF(G15, H15, "D")&amp; " Days"</f>
        <v>3 Days</v>
      </c>
      <c r="J15" s="51"/>
      <c r="K15" s="52"/>
      <c r="L15" s="52"/>
      <c r="O15" s="43" t="e">
        <f>VLOOKUP(C15,#REF!,2,0)</f>
        <v>#REF!</v>
      </c>
    </row>
    <row r="16" spans="1:18">
      <c r="A16" s="44">
        <v>8</v>
      </c>
      <c r="B16" s="49"/>
      <c r="C16" s="50" t="s">
        <v>59</v>
      </c>
      <c r="D16" s="46"/>
      <c r="E16" s="46">
        <v>1</v>
      </c>
      <c r="F16" s="46" t="s">
        <v>92</v>
      </c>
      <c r="G16" s="47">
        <v>45989</v>
      </c>
      <c r="H16" s="53">
        <v>45995</v>
      </c>
      <c r="I16" s="48" t="s">
        <v>89</v>
      </c>
      <c r="J16" s="22"/>
      <c r="K16" s="23"/>
      <c r="L16" s="23"/>
      <c r="O16" s="43" t="e">
        <f>VLOOKUP(C16,#REF!,2,0)</f>
        <v>#REF!</v>
      </c>
    </row>
    <row r="17" spans="1:18">
      <c r="A17" s="44">
        <v>9</v>
      </c>
      <c r="B17" s="20"/>
      <c r="C17" s="50" t="s">
        <v>59</v>
      </c>
      <c r="D17" s="46"/>
      <c r="E17" s="46">
        <v>2</v>
      </c>
      <c r="F17" s="46" t="s">
        <v>92</v>
      </c>
      <c r="G17" s="47">
        <v>45989</v>
      </c>
      <c r="H17" s="53">
        <v>45995</v>
      </c>
      <c r="I17" s="48" t="s">
        <v>89</v>
      </c>
      <c r="J17" s="22"/>
      <c r="K17" s="23"/>
      <c r="L17" s="23"/>
      <c r="O17" s="43" t="e">
        <f>VLOOKUP(C17,#REF!,2,0)</f>
        <v>#REF!</v>
      </c>
    </row>
    <row r="18" spans="1:18">
      <c r="A18" s="44">
        <v>10</v>
      </c>
      <c r="B18" s="20"/>
      <c r="C18" s="50" t="s">
        <v>63</v>
      </c>
      <c r="D18" s="54" t="s">
        <v>72</v>
      </c>
      <c r="E18" s="45">
        <v>1</v>
      </c>
      <c r="F18" s="46" t="s">
        <v>73</v>
      </c>
      <c r="G18" s="47">
        <v>45989</v>
      </c>
      <c r="H18" s="53">
        <v>45995</v>
      </c>
      <c r="I18" s="48" t="s">
        <v>89</v>
      </c>
      <c r="J18" s="51"/>
      <c r="K18" s="52"/>
      <c r="L18" s="52"/>
      <c r="O18" s="43" t="e">
        <f>VLOOKUP(C18,#REF!,2,0)</f>
        <v>#REF!</v>
      </c>
      <c r="Q18" t="s">
        <v>81</v>
      </c>
      <c r="R18">
        <f>COUNTIF(O:O,Q18)</f>
        <v>0</v>
      </c>
    </row>
    <row r="19" spans="1:18">
      <c r="A19" s="44">
        <v>11</v>
      </c>
      <c r="B19" s="20"/>
      <c r="C19" s="50" t="s">
        <v>67</v>
      </c>
      <c r="D19" s="17"/>
      <c r="E19" s="17">
        <v>1</v>
      </c>
      <c r="F19" s="17" t="s">
        <v>71</v>
      </c>
      <c r="G19" s="53">
        <v>45992</v>
      </c>
      <c r="H19" s="53">
        <v>45995</v>
      </c>
      <c r="I19" s="55" t="str">
        <f>DATEDIF(G19, H19, "D")&amp; " Days"</f>
        <v>3 Days</v>
      </c>
      <c r="J19" s="22"/>
      <c r="K19" s="52"/>
      <c r="L19" s="52"/>
      <c r="O19" s="43" t="e">
        <f>VLOOKUP(C19,#REF!,2,0)</f>
        <v>#REF!</v>
      </c>
    </row>
    <row r="20" spans="1:18">
      <c r="A20" s="44">
        <v>12</v>
      </c>
      <c r="B20" s="20"/>
      <c r="C20" s="50" t="s">
        <v>64</v>
      </c>
      <c r="D20" s="54" t="s">
        <v>72</v>
      </c>
      <c r="E20" s="45">
        <v>1</v>
      </c>
      <c r="F20" s="17" t="s">
        <v>71</v>
      </c>
      <c r="G20" s="47">
        <v>45989</v>
      </c>
      <c r="H20" s="53">
        <v>45995</v>
      </c>
      <c r="I20" s="48" t="s">
        <v>89</v>
      </c>
      <c r="J20" s="22"/>
      <c r="K20" s="23"/>
      <c r="L20" s="23"/>
      <c r="O20" s="43" t="e">
        <f>VLOOKUP(C20,#REF!,2,0)</f>
        <v>#REF!</v>
      </c>
    </row>
    <row r="21" spans="1:18">
      <c r="A21" s="44">
        <v>13</v>
      </c>
      <c r="B21" s="49"/>
      <c r="C21" s="50" t="s">
        <v>67</v>
      </c>
      <c r="D21" s="46"/>
      <c r="E21" s="17">
        <v>1</v>
      </c>
      <c r="F21" s="46" t="s">
        <v>71</v>
      </c>
      <c r="G21" s="53">
        <v>45992</v>
      </c>
      <c r="H21" s="53">
        <v>45995</v>
      </c>
      <c r="I21" s="48" t="s">
        <v>110</v>
      </c>
      <c r="J21" s="49"/>
      <c r="K21" s="49"/>
      <c r="L21" s="49"/>
      <c r="O21" s="43" t="s">
        <v>79</v>
      </c>
    </row>
    <row r="22" spans="1:18">
      <c r="A22" s="44">
        <v>14</v>
      </c>
      <c r="B22" s="44"/>
      <c r="C22" s="50" t="s">
        <v>51</v>
      </c>
      <c r="D22" s="64"/>
      <c r="E22" s="45" t="s">
        <v>98</v>
      </c>
      <c r="F22" s="17" t="s">
        <v>106</v>
      </c>
      <c r="G22" s="73">
        <v>45992</v>
      </c>
      <c r="H22" s="37">
        <v>45995</v>
      </c>
      <c r="I22" s="55" t="str">
        <f>DATEDIF(G22, H22, "D")&amp; " Days"</f>
        <v>3 Days</v>
      </c>
      <c r="J22" s="20"/>
      <c r="K22" s="20"/>
      <c r="L22" s="20"/>
      <c r="O22" s="43" t="e">
        <f>VLOOKUP(C22,#REF!,2,0)</f>
        <v>#REF!</v>
      </c>
      <c r="Q22" t="s">
        <v>77</v>
      </c>
      <c r="R22">
        <f>COUNTIF(O:O,Q22)</f>
        <v>0</v>
      </c>
    </row>
    <row r="23" spans="1:18">
      <c r="A23" s="44">
        <v>15</v>
      </c>
      <c r="B23" s="62"/>
      <c r="C23" s="50"/>
      <c r="D23" s="66"/>
      <c r="E23" s="45" t="s">
        <v>113</v>
      </c>
      <c r="F23" s="46" t="s">
        <v>106</v>
      </c>
      <c r="G23" s="73">
        <v>45992</v>
      </c>
      <c r="H23" s="53">
        <v>45995</v>
      </c>
      <c r="I23" s="76" t="str">
        <f>DATEDIF(G23, H23, "D")&amp; " Days"</f>
        <v>3 Days</v>
      </c>
      <c r="J23" s="69"/>
      <c r="K23" s="52"/>
      <c r="L23" s="52"/>
      <c r="O23" s="43" t="e">
        <f>VLOOKUP(C23,#REF!,2,0)</f>
        <v>#REF!</v>
      </c>
    </row>
    <row r="24" spans="1:18">
      <c r="A24" s="44">
        <v>16</v>
      </c>
      <c r="B24" s="62"/>
      <c r="C24" s="50" t="s">
        <v>64</v>
      </c>
      <c r="D24" s="74" t="s">
        <v>72</v>
      </c>
      <c r="E24" s="65">
        <v>1</v>
      </c>
      <c r="F24" s="46" t="s">
        <v>71</v>
      </c>
      <c r="G24" s="67">
        <v>45989</v>
      </c>
      <c r="H24" s="53">
        <v>45995</v>
      </c>
      <c r="I24" s="55" t="str">
        <f>DATEDIF(G24, H24, "D")-2  &amp; " Days"</f>
        <v>4 Days</v>
      </c>
      <c r="J24" s="69"/>
      <c r="K24" s="23"/>
      <c r="L24" s="23"/>
      <c r="O24" s="43" t="e">
        <f>VLOOKUP(C24,#REF!,2,0)</f>
        <v>#REF!</v>
      </c>
    </row>
    <row r="25" spans="1:18">
      <c r="A25" s="44">
        <v>17</v>
      </c>
      <c r="B25" s="62"/>
      <c r="C25" s="50" t="s">
        <v>60</v>
      </c>
      <c r="D25" s="46"/>
      <c r="E25" s="65" t="s">
        <v>98</v>
      </c>
      <c r="F25" s="17" t="s">
        <v>106</v>
      </c>
      <c r="G25" s="53">
        <v>45992</v>
      </c>
      <c r="H25" s="53">
        <v>45995</v>
      </c>
      <c r="I25" s="55" t="str">
        <f>DATEDIF(G25, H25, "D")&amp; " Days"</f>
        <v>3 Days</v>
      </c>
      <c r="J25" s="49"/>
      <c r="K25" s="49"/>
      <c r="L25" s="49"/>
      <c r="O25" s="43" t="e">
        <f>VLOOKUP(C25,#REF!,2,0)</f>
        <v>#REF!</v>
      </c>
    </row>
    <row r="26" spans="1:18">
      <c r="A26" s="44">
        <v>18</v>
      </c>
      <c r="B26" s="20"/>
      <c r="C26" s="50" t="s">
        <v>64</v>
      </c>
      <c r="D26" s="54" t="s">
        <v>72</v>
      </c>
      <c r="E26" s="65">
        <v>1</v>
      </c>
      <c r="F26" s="46" t="s">
        <v>73</v>
      </c>
      <c r="G26" s="67">
        <v>45989</v>
      </c>
      <c r="H26" s="53">
        <v>45995</v>
      </c>
      <c r="I26" s="68" t="s">
        <v>89</v>
      </c>
      <c r="J26" s="71"/>
      <c r="K26" s="49"/>
      <c r="L26" s="49"/>
      <c r="O26" s="43" t="e">
        <f>VLOOKUP(C26,#REF!,2,0)</f>
        <v>#REF!</v>
      </c>
    </row>
    <row r="27" spans="1:18">
      <c r="A27" s="44">
        <v>19</v>
      </c>
      <c r="B27" s="20"/>
      <c r="C27" s="50" t="s">
        <v>107</v>
      </c>
      <c r="D27" s="66"/>
      <c r="E27" s="66">
        <v>1</v>
      </c>
      <c r="F27" s="17" t="s">
        <v>108</v>
      </c>
      <c r="G27" s="73">
        <v>45992</v>
      </c>
      <c r="H27" s="53">
        <v>45995</v>
      </c>
      <c r="I27" s="76" t="str">
        <f>DATEDIF(G27, H27, "D")&amp; " Days"</f>
        <v>3 Days</v>
      </c>
      <c r="J27" s="71"/>
      <c r="K27" s="20"/>
      <c r="L27" s="20"/>
      <c r="O27" s="43" t="e">
        <f>VLOOKUP(C27,#REF!,2,0)</f>
        <v>#REF!</v>
      </c>
    </row>
    <row r="28" spans="1:18">
      <c r="A28" s="44">
        <v>20</v>
      </c>
      <c r="B28" s="20"/>
      <c r="C28" s="50" t="s">
        <v>105</v>
      </c>
      <c r="D28" s="66"/>
      <c r="E28" s="17">
        <v>1</v>
      </c>
      <c r="F28" s="17" t="s">
        <v>73</v>
      </c>
      <c r="G28" s="53">
        <v>45992</v>
      </c>
      <c r="H28" s="53">
        <v>45995</v>
      </c>
      <c r="I28" s="55" t="str">
        <f>DATEDIF(G28, H28, "D")&amp; " Days"</f>
        <v>3 Days</v>
      </c>
      <c r="J28" s="69"/>
      <c r="K28" s="23"/>
      <c r="L28" s="23"/>
      <c r="O28" s="43" t="e">
        <f>VLOOKUP(C28,#REF!,2,0)</f>
        <v>#REF!</v>
      </c>
    </row>
    <row r="29" spans="1:18">
      <c r="A29" s="44">
        <v>21</v>
      </c>
      <c r="B29" s="20"/>
      <c r="C29" s="50" t="s">
        <v>103</v>
      </c>
      <c r="D29" s="54" t="s">
        <v>72</v>
      </c>
      <c r="E29" s="66">
        <v>1</v>
      </c>
      <c r="F29" s="17" t="s">
        <v>71</v>
      </c>
      <c r="G29" s="73">
        <v>45992</v>
      </c>
      <c r="H29" s="53">
        <v>45995</v>
      </c>
      <c r="I29" s="76" t="str">
        <f>DATEDIF(G29, H29, "D")&amp; " Days"</f>
        <v>3 Days</v>
      </c>
      <c r="J29" s="49"/>
      <c r="K29" s="49"/>
      <c r="L29" s="49"/>
      <c r="O29" s="43" t="e">
        <f>VLOOKUP(C29,#REF!,2,0)</f>
        <v>#REF!</v>
      </c>
    </row>
    <row r="30" spans="1:18">
      <c r="A30" s="44">
        <v>22</v>
      </c>
      <c r="B30" s="69"/>
      <c r="C30" s="50" t="s">
        <v>64</v>
      </c>
      <c r="D30" s="74" t="s">
        <v>72</v>
      </c>
      <c r="E30" s="45">
        <v>1</v>
      </c>
      <c r="F30" s="17" t="s">
        <v>71</v>
      </c>
      <c r="G30" s="47">
        <v>45989</v>
      </c>
      <c r="H30" s="53">
        <v>45995</v>
      </c>
      <c r="I30" s="68" t="s">
        <v>89</v>
      </c>
      <c r="J30" s="20"/>
      <c r="K30" s="20"/>
      <c r="L30" s="20"/>
      <c r="O30" s="43"/>
    </row>
    <row r="31" spans="1:18">
      <c r="A31" s="44">
        <v>23</v>
      </c>
      <c r="B31" s="69"/>
      <c r="C31" s="57" t="s">
        <v>104</v>
      </c>
      <c r="D31" s="54" t="s">
        <v>72</v>
      </c>
      <c r="E31" s="66">
        <v>3</v>
      </c>
      <c r="F31" s="17" t="s">
        <v>73</v>
      </c>
      <c r="G31" s="73">
        <v>45992</v>
      </c>
      <c r="H31" s="53">
        <v>45995</v>
      </c>
      <c r="I31" s="76" t="str">
        <f>DATEDIF(G31, H31, "D")&amp; " Days"</f>
        <v>3 Days</v>
      </c>
      <c r="J31" s="22"/>
      <c r="K31" s="23"/>
      <c r="L31" s="23"/>
      <c r="O31" s="43" t="e">
        <f>VLOOKUP(C31,#REF!,2,0)</f>
        <v>#REF!</v>
      </c>
    </row>
    <row r="32" spans="1:18">
      <c r="A32" s="44">
        <v>24</v>
      </c>
      <c r="B32" s="20"/>
      <c r="C32" s="50" t="s">
        <v>64</v>
      </c>
      <c r="D32" s="54" t="s">
        <v>72</v>
      </c>
      <c r="E32" s="65">
        <v>1</v>
      </c>
      <c r="F32" s="17" t="s">
        <v>73</v>
      </c>
      <c r="G32" s="67">
        <v>45989</v>
      </c>
      <c r="H32" s="53">
        <v>45995</v>
      </c>
      <c r="I32" s="68" t="s">
        <v>89</v>
      </c>
      <c r="J32" s="20"/>
      <c r="K32" s="20"/>
      <c r="L32" s="20"/>
      <c r="O32" t="e">
        <f>VLOOKUP(C32,#REF!,2,0)</f>
        <v>#REF!</v>
      </c>
    </row>
    <row r="33" spans="1:15">
      <c r="A33" s="44">
        <v>25</v>
      </c>
      <c r="B33" s="62"/>
      <c r="C33" s="50" t="s">
        <v>112</v>
      </c>
      <c r="D33" s="17"/>
      <c r="E33" s="65">
        <v>2</v>
      </c>
      <c r="F33" s="17" t="s">
        <v>92</v>
      </c>
      <c r="G33" s="67">
        <v>45992</v>
      </c>
      <c r="H33" s="37">
        <v>45995</v>
      </c>
      <c r="I33" s="69" t="s">
        <v>110</v>
      </c>
      <c r="J33" s="20"/>
      <c r="K33" s="20"/>
      <c r="L33" s="20"/>
      <c r="O33" t="e">
        <f>VLOOKUP(C33,#REF!,2,0)</f>
        <v>#REF!</v>
      </c>
    </row>
    <row r="34" spans="1:15">
      <c r="A34" s="44">
        <v>26</v>
      </c>
      <c r="B34" s="12"/>
      <c r="C34" s="70" t="s">
        <v>155</v>
      </c>
      <c r="D34" s="66"/>
      <c r="E34" s="16" t="s">
        <v>98</v>
      </c>
      <c r="F34" s="17" t="s">
        <v>99</v>
      </c>
      <c r="G34" s="73">
        <v>45994</v>
      </c>
      <c r="H34" s="53">
        <v>45995</v>
      </c>
      <c r="I34" s="76" t="s">
        <v>156</v>
      </c>
      <c r="J34" s="71"/>
      <c r="K34" s="20"/>
      <c r="L34" s="20"/>
      <c r="O34" s="43" t="e">
        <f>VLOOKUP(C34,#REF!,2,0)</f>
        <v>#REF!</v>
      </c>
    </row>
    <row r="35" spans="1:15">
      <c r="A35" s="44">
        <v>27</v>
      </c>
      <c r="B35" s="62"/>
      <c r="C35" s="50" t="s">
        <v>67</v>
      </c>
      <c r="D35" s="74" t="s">
        <v>72</v>
      </c>
      <c r="E35" s="65">
        <v>1</v>
      </c>
      <c r="F35" s="46" t="s">
        <v>71</v>
      </c>
      <c r="G35" s="67">
        <v>45989</v>
      </c>
      <c r="H35" s="53">
        <v>45995</v>
      </c>
      <c r="I35" s="68" t="s">
        <v>89</v>
      </c>
      <c r="J35" s="20"/>
      <c r="K35" s="20"/>
      <c r="L35" s="20"/>
      <c r="O35" s="43" t="e">
        <f>VLOOKUP(C35,#REF!,2,0)</f>
        <v>#REF!</v>
      </c>
    </row>
    <row r="36" spans="1:15">
      <c r="A36" s="44">
        <v>28</v>
      </c>
      <c r="B36" s="69"/>
      <c r="C36" s="50" t="s">
        <v>103</v>
      </c>
      <c r="D36" s="74" t="s">
        <v>72</v>
      </c>
      <c r="E36" s="66">
        <v>1</v>
      </c>
      <c r="F36" s="46" t="s">
        <v>71</v>
      </c>
      <c r="G36" s="53">
        <v>45992</v>
      </c>
      <c r="H36" s="53">
        <v>45995</v>
      </c>
      <c r="I36" s="55" t="str">
        <f>DATEDIF(G36, H36, "D")&amp; " Days"</f>
        <v>3 Days</v>
      </c>
      <c r="J36" s="20"/>
      <c r="K36" s="20"/>
      <c r="L36" s="20"/>
      <c r="O36" s="43" t="e">
        <f>VLOOKUP(C36,#REF!,2,0)</f>
        <v>#REF!</v>
      </c>
    </row>
    <row r="37" spans="1:15">
      <c r="A37" s="44">
        <v>29</v>
      </c>
      <c r="B37" s="69"/>
      <c r="C37" s="50" t="s">
        <v>69</v>
      </c>
      <c r="D37" s="17"/>
      <c r="E37" s="66">
        <v>1</v>
      </c>
      <c r="F37" s="46" t="s">
        <v>75</v>
      </c>
      <c r="G37" s="53">
        <v>45992</v>
      </c>
      <c r="H37" s="53">
        <v>45995</v>
      </c>
      <c r="I37" s="55" t="str">
        <f>DATEDIF(G37, H37, "D")&amp; " Days"</f>
        <v>3 Days</v>
      </c>
      <c r="J37" s="20"/>
      <c r="K37" s="20"/>
      <c r="L37" s="20"/>
    </row>
    <row r="38" spans="1:15">
      <c r="A38" s="44">
        <v>30</v>
      </c>
      <c r="B38" s="12"/>
      <c r="C38" s="50"/>
      <c r="D38" s="17"/>
      <c r="E38" s="21"/>
      <c r="F38" s="16"/>
      <c r="G38" s="18"/>
      <c r="H38" s="18"/>
      <c r="I38" s="20"/>
      <c r="J38" s="20"/>
      <c r="K38" s="20"/>
      <c r="L38" s="20"/>
    </row>
    <row r="39" spans="1:15">
      <c r="A39" s="44">
        <v>31</v>
      </c>
      <c r="B39" s="12"/>
      <c r="C39" s="50"/>
      <c r="D39" s="17"/>
      <c r="E39" s="16"/>
      <c r="F39" s="17"/>
      <c r="G39" s="18"/>
      <c r="H39" s="18"/>
      <c r="I39" s="20"/>
      <c r="J39" s="20"/>
      <c r="K39" s="20"/>
      <c r="L39" s="20"/>
    </row>
    <row r="40" spans="1:15">
      <c r="A40" s="44">
        <v>32</v>
      </c>
      <c r="B40" s="20"/>
      <c r="C40" s="50"/>
      <c r="D40" s="20"/>
      <c r="E40" s="20"/>
      <c r="F40" s="20"/>
      <c r="G40" s="20"/>
      <c r="H40" s="20"/>
      <c r="I40" s="20"/>
      <c r="J40" s="20"/>
      <c r="K40" s="20"/>
      <c r="L40" s="20"/>
    </row>
    <row r="41" spans="1:15">
      <c r="A41" s="44">
        <v>33</v>
      </c>
      <c r="B41" s="20"/>
      <c r="C41" s="50"/>
      <c r="D41" s="20"/>
      <c r="E41" s="20"/>
      <c r="F41" s="20"/>
      <c r="G41" s="20"/>
      <c r="H41" s="20"/>
      <c r="I41" s="20"/>
      <c r="J41" s="20"/>
      <c r="K41" s="20"/>
      <c r="L41" s="20"/>
    </row>
    <row r="42" spans="1:15">
      <c r="A42" s="44">
        <v>34</v>
      </c>
      <c r="B42" s="20"/>
      <c r="C42" s="50"/>
      <c r="D42" s="20"/>
      <c r="E42" s="20"/>
      <c r="F42" s="20"/>
      <c r="G42" s="20"/>
      <c r="H42" s="20"/>
      <c r="I42" s="20"/>
      <c r="J42" s="20"/>
      <c r="K42" s="20"/>
      <c r="L42" s="20"/>
    </row>
    <row r="43" spans="1:15">
      <c r="A43" s="44">
        <v>35</v>
      </c>
      <c r="B43" s="20"/>
      <c r="C43" s="50"/>
      <c r="D43" s="20"/>
      <c r="E43" s="20"/>
      <c r="F43" s="20"/>
      <c r="G43" s="20"/>
      <c r="H43" s="20"/>
      <c r="I43" s="20"/>
      <c r="J43" s="20"/>
      <c r="K43" s="20"/>
      <c r="L43" s="20"/>
    </row>
    <row r="44" spans="1:15">
      <c r="A44" s="44">
        <v>36</v>
      </c>
      <c r="B44" s="20"/>
      <c r="C44" s="50"/>
      <c r="D44" s="20"/>
      <c r="E44" s="20"/>
      <c r="F44" s="20"/>
      <c r="G44" s="20"/>
      <c r="H44" s="20" t="s">
        <v>95</v>
      </c>
      <c r="I44" s="20"/>
      <c r="J44" s="20"/>
      <c r="K44" s="20"/>
      <c r="L44" s="20"/>
    </row>
    <row r="45" spans="1:15">
      <c r="A45" s="44">
        <v>37</v>
      </c>
      <c r="B45" s="20"/>
      <c r="C45" s="50"/>
      <c r="D45" s="20"/>
      <c r="E45" s="20"/>
      <c r="F45" s="20"/>
      <c r="G45" s="20"/>
      <c r="H45" s="20"/>
      <c r="I45" s="20"/>
      <c r="J45" s="20"/>
      <c r="K45" s="20"/>
      <c r="L45" s="20"/>
    </row>
    <row r="46" spans="1:15">
      <c r="A46" s="44">
        <v>38</v>
      </c>
      <c r="B46" s="20"/>
      <c r="C46" s="50"/>
      <c r="D46" s="20"/>
      <c r="E46" s="20"/>
      <c r="F46" s="20"/>
      <c r="G46" s="20"/>
      <c r="H46" s="20"/>
      <c r="I46" s="20"/>
      <c r="J46" s="20"/>
      <c r="K46" s="20"/>
      <c r="L46" s="20"/>
    </row>
    <row r="47" spans="1:15">
      <c r="A47" s="44">
        <v>39</v>
      </c>
      <c r="B47" s="20"/>
      <c r="C47" s="50"/>
      <c r="D47" s="20"/>
      <c r="E47" s="20"/>
      <c r="F47" s="20"/>
      <c r="G47" s="20"/>
      <c r="H47" s="20"/>
      <c r="I47" s="20"/>
      <c r="J47" s="20"/>
      <c r="K47" s="20"/>
      <c r="L47" s="20"/>
    </row>
    <row r="48" spans="1:15">
      <c r="A48" s="44">
        <v>40</v>
      </c>
      <c r="B48" s="20"/>
      <c r="C48" s="5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44">
        <v>41</v>
      </c>
      <c r="B49" s="20"/>
      <c r="C49" s="5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44">
        <v>42</v>
      </c>
      <c r="B50" s="20"/>
      <c r="C50" s="5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44">
        <v>43</v>
      </c>
      <c r="B51" s="20"/>
      <c r="C51" s="5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44">
        <v>44</v>
      </c>
      <c r="B52" s="20"/>
      <c r="C52" s="5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44">
        <v>45</v>
      </c>
      <c r="B53" s="20"/>
      <c r="C53" s="5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44">
        <v>46</v>
      </c>
      <c r="B54" s="20"/>
      <c r="C54" s="5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44">
        <v>47</v>
      </c>
      <c r="B55" s="20"/>
      <c r="C55" s="5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44">
        <v>48</v>
      </c>
      <c r="B56" s="20"/>
      <c r="C56" s="5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44">
        <v>49</v>
      </c>
      <c r="B57" s="20"/>
      <c r="C57" s="5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44">
        <v>50</v>
      </c>
      <c r="B58" s="20"/>
      <c r="C58" s="50"/>
      <c r="D58" s="20"/>
      <c r="E58" s="20"/>
      <c r="F58" s="20"/>
      <c r="G58" s="20"/>
      <c r="H58" s="20"/>
      <c r="I58" s="20"/>
      <c r="J58" s="20"/>
      <c r="K58" s="20"/>
      <c r="L58" s="20"/>
    </row>
    <row r="62" spans="1:12" ht="15">
      <c r="B62" s="24" t="s">
        <v>1</v>
      </c>
      <c r="C62" s="25" cm="1">
        <f t="array" ref="C62">SUMPRODUCT(
  (LEN("," &amp; SUBSTITUTE(TRIM(SUBSTITUTE(E9:E58," ","")),",",",") &amp; ",") -
   LEN(SUBSTITUTE("," &amp; SUBSTITUTE(TRIM(SUBSTITUTE(E9:E58," ","")),",",",") &amp; ",", ",1,", ""))
  ) / LEN(",1,")
)</f>
        <v>22</v>
      </c>
      <c r="D62" s="20"/>
      <c r="E62" s="20"/>
      <c r="F62" s="26" t="s">
        <v>9</v>
      </c>
      <c r="G62" s="29" cm="1">
        <f t="array" ref="G62">SUMPRODUCT(
  (LEN("," &amp; SUBSTITUTE(TRIM(SUBSTITUTE(E9:E58," ","")),",",",") &amp; ",") -
   LEN(SUBSTITUTE("," &amp; SUBSTITUTE(TRIM(SUBSTITUTE(E9:E58," ","")),",",",") &amp; ",", ",4i,", ""))
  ) / LEN(",4i,")
)</f>
        <v>0</v>
      </c>
    </row>
    <row r="63" spans="1:12">
      <c r="B63" s="20" t="s">
        <v>33</v>
      </c>
      <c r="C63" s="27" cm="1">
        <f t="array" ref="C63">SUMPRODUCT(
  (--(TRIM(F9:F58)="evaluation")) *
  (
    (LEN("," &amp; SUBSTITUTE(TRIM(SUBSTITUTE(E9:E58," ","")),",",",") &amp; ",") -
     LEN(SUBSTITUTE("," &amp; SUBSTITUTE(TRIM(SUBSTITUTE(E9:E58," ","")),",",",") &amp; ",", ",1,", ""))
    ) / LEN(",1,")
  )
)</f>
        <v>1</v>
      </c>
      <c r="D63" s="20"/>
      <c r="E63" s="20"/>
      <c r="F63" s="20" t="s">
        <v>33</v>
      </c>
      <c r="G63" s="27" cm="1">
        <f t="array" ref="G63">SUMPRODUCT(
  (--(TRIM(F9:F58)="evaluation"))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64" spans="1:12">
      <c r="B64" s="20" t="s">
        <v>34</v>
      </c>
      <c r="C64" s="27" cm="1">
        <f t="array" ref="C64">SUMPRODUCT(
  (--(TRIM(F9:F58)="scholarship")) *
  (
    (LEN("," &amp; SUBSTITUTE(TRIM(SUBSTITUTE(E9:E58," ","")),",",",") &amp; ",") -
     LEN(SUBSTITUTE("," &amp; SUBSTITUTE(TRIM(SUBSTITUTE(E9:E58," ","")),",",",") &amp; ",", ",1,", ""))
    ) / LEN(",1,")
  )
)</f>
        <v>0</v>
      </c>
      <c r="D64" s="20"/>
      <c r="E64" s="20"/>
      <c r="F64" s="20" t="s">
        <v>34</v>
      </c>
      <c r="G64" s="27" cm="1">
        <f t="array" ref="G64">SUMPRODUCT(
  (--(TRIM(F9:F58)="scholarship"))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65" spans="2:7">
      <c r="B65" s="20" t="s">
        <v>35</v>
      </c>
      <c r="C65" s="27" cm="1">
        <f t="array" ref="C65">SUMPRODUCT(
  (--(TRIM(F9:F58)="passport")) *
  (
    (LEN("," &amp; SUBSTITUTE(TRIM(SUBSTITUTE(E9:E58," ","")),",",",") &amp; ",") -
     LEN(SUBSTITUTE("," &amp; SUBSTITUTE(TRIM(SUBSTITUTE(E9:E58," ","")),",",",") &amp; ",", ",1,", ""))
    ) / LEN(",1,")
  )
)</f>
        <v>0</v>
      </c>
      <c r="D65" s="20"/>
      <c r="E65" s="20"/>
      <c r="F65" s="20" t="s">
        <v>35</v>
      </c>
      <c r="G65" s="27" cm="1">
        <f t="array" ref="G65">SUMPRODUCT(
  (--(TRIM(F9:F58)="passport"))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66" spans="2:7">
      <c r="B66" s="20" t="s">
        <v>36</v>
      </c>
      <c r="C66" s="27" cm="1">
        <f t="array" ref="C66">SUMPRODUCT(
  (--(TRIM(F9:F58)="board exam")) *
  (
    (LEN("," &amp; SUBSTITUTE(TRIM(SUBSTITUTE(E9:E58," ","")),",",",") &amp; ",") -
     LEN(SUBSTITUTE("," &amp; SUBSTITUTE(TRIM(SUBSTITUTE(E9:E58," ","")),",",",") &amp; ",", ",1,", ""))
    ) / LEN(",1,")
  )
)</f>
        <v>12</v>
      </c>
      <c r="D66" s="20"/>
      <c r="E66" s="20"/>
      <c r="F66" s="20" t="s">
        <v>36</v>
      </c>
      <c r="G66" s="27" cm="1">
        <f t="array" ref="G66">SUMPRODUCT(
  (--(TRIM(F9:F58)="board exam"))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67" spans="2:7">
      <c r="B67" s="20" t="s">
        <v>37</v>
      </c>
      <c r="C67" s="27" cm="1">
        <f t="array" ref="C67">SUMPRODUCT(
  (--(TRIM(F9:F58)="employment")) *
  (
    (LEN("," &amp; SUBSTITUTE(TRIM(SUBSTITUTE(E9:E58," ","")),",",",") &amp; ",") -
     LEN(SUBSTITUTE("," &amp; SUBSTITUTE(TRIM(SUBSTITUTE(E9:E58," ","")),",",",") &amp; ",", ",1,", ""))
    ) / LEN(",1,")
  )
)</f>
        <v>6</v>
      </c>
      <c r="D67" s="20"/>
      <c r="E67" s="20"/>
      <c r="F67" s="20" t="s">
        <v>37</v>
      </c>
      <c r="G67" s="27" cm="1">
        <f t="array" ref="G67">SUMPRODUCT(
  (--(TRIM(F9:F58)="employment"))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68" spans="2:7">
      <c r="B68" s="20" t="s">
        <v>38</v>
      </c>
      <c r="C68" s="27" cm="1">
        <f t="array" ref="C68">SUMPRODUCT(
  (--(TRIM(F9:F58)="personal file")) *
  (
    (LEN("," &amp; SUBSTITUTE(TRIM(SUBSTITUTE(E9:E58," ","")),",",",") &amp; ",") -
     LEN(SUBSTITUTE("," &amp; SUBSTITUTE(TRIM(SUBSTITUTE(E9:E58," ","")),",",",") &amp; ",", ",1,", ""))
    ) / LEN(",1,")
  )
)</f>
        <v>0</v>
      </c>
      <c r="D68" s="20"/>
      <c r="E68" s="20"/>
      <c r="F68" s="20" t="s">
        <v>38</v>
      </c>
      <c r="G68" s="27" cm="1">
        <f t="array" ref="G68">SUMPRODUCT(
  (--(TRIM(F9:F58)="personal file"))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69" spans="2:7">
      <c r="B69" s="20" t="s">
        <v>39</v>
      </c>
      <c r="C69" s="27" cm="1">
        <f t="array" ref="C69">SUMPRODUCT(
  (--(TRIM(F9:F58)="advanced studies")) *
  (
    (LEN("," &amp; SUBSTITUTE(TRIM(SUBSTITUTE(E9:E58," ","")),",",",") &amp; ",") -
     LEN(SUBSTITUTE("," &amp; SUBSTITUTE(TRIM(SUBSTITUTE(E9:E58," ","")),",",",") &amp; ",", ",1,", ""))
    ) / LEN(",1,")
  )
)</f>
        <v>0</v>
      </c>
      <c r="D69" s="20"/>
      <c r="E69" s="20"/>
      <c r="F69" s="20" t="s">
        <v>39</v>
      </c>
      <c r="G69" s="27" cm="1">
        <f t="array" ref="G69">SUMPRODUCT(
  (--(TRIM(F9:F58)="advanced studies"))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70" spans="2:7">
      <c r="B70" s="20" t="s">
        <v>40</v>
      </c>
      <c r="C70" s="27" cm="1">
        <f t="array" ref="C70">SUMPRODUCT(
  (--(TRIM(F9:F58)="ranking")) *
  (
    (LEN("," &amp; SUBSTITUTE(TRIM(SUBSTITUTE(E9:E58," ","")),",",",") &amp; ",") -
     LEN(SUBSTITUTE("," &amp; SUBSTITUTE(TRIM(SUBSTITUTE(E9:E58," ","")),",",",") &amp; ",", ",1,", ""))
    ) / LEN(",1,")
  )
)</f>
        <v>0</v>
      </c>
      <c r="D70" s="20"/>
      <c r="E70" s="20"/>
      <c r="F70" s="20" t="s">
        <v>40</v>
      </c>
      <c r="G70" s="27" cm="1">
        <f t="array" ref="G70">SUMPRODUCT(
  (--(TRIM(F9:F58)="ranking")) *
  (
    (LEN("," &amp; SUBSTITUTE(TRIM(SUBSTITUTE(E9:E58," ","")),",",",") &amp; ",") -
     LEN(SUBSTITUTE("," &amp; SUBSTITUTE(TRIM(SUBSTITUTE(E9:E58," ","")),",",",") &amp; ",", ",4i,", ""))
    ) / LEN(",4i,")
  )
)</f>
        <v>0</v>
      </c>
    </row>
    <row r="71" spans="2:7">
      <c r="B71" s="20" t="s">
        <v>49</v>
      </c>
      <c r="C71" s="20" cm="1">
        <f t="array" ref="C71">SUMPRODUCT(
  (--(TRIM(F9:F58)="tor-granted")) *
  (
    (LEN("," &amp; SUBSTITUTE(TRIM(SUBSTITUTE(E9:E58," ","")),",",",") &amp; ",") -
     LEN(SUBSTITUTE("," &amp; SUBSTITUTE(TRIM(SUBSTITUTE(E9:E58," ","")),",",",") &amp; ",", ",1,", ""))
    ) / LEN(",1,")
  )
)</f>
        <v>2</v>
      </c>
      <c r="D71" s="20"/>
      <c r="E71" s="20"/>
      <c r="F71" s="20" t="s">
        <v>41</v>
      </c>
      <c r="G71" s="20">
        <f>(G62)- SUM(G63:G70)</f>
        <v>0</v>
      </c>
    </row>
    <row r="72" spans="2:7">
      <c r="B72" s="20" t="s">
        <v>41</v>
      </c>
      <c r="C72" s="27">
        <f>(C62)- SUM(C63:C71)</f>
        <v>1</v>
      </c>
      <c r="D72" s="20"/>
      <c r="E72" s="20"/>
      <c r="F72" s="20"/>
      <c r="G72" s="20"/>
    </row>
    <row r="73" spans="2:7" ht="15">
      <c r="B73" s="24" t="s">
        <v>2</v>
      </c>
      <c r="C73" s="25" cm="1">
        <f t="array" ref="C73">SUMPRODUCT(
  (LEN("," &amp; SUBSTITUTE(TRIM(SUBSTITUTE(E9:E58," ","")),",",",") &amp; ",") -
   LEN(SUBSTITUTE("," &amp; SUBSTITUTE(TRIM(SUBSTITUTE(E9:E58," ","")),",",",") &amp; ",", ",2,", ""))
  ) / LEN(",2,")
)</f>
        <v>2</v>
      </c>
      <c r="D73" s="20"/>
      <c r="E73" s="20"/>
      <c r="F73" s="28" t="s">
        <v>14</v>
      </c>
      <c r="G73" s="29" cm="1">
        <f t="array" ref="G73">SUMPRODUCT(
  (LEN("," &amp; SUBSTITUTE(TRIM(SUBSTITUTE(E9:E58," ","")),",",",") &amp; ",") -
   LEN(SUBSTITUTE("," &amp; SUBSTITUTE(TRIM(SUBSTITUTE(E9:E58," ","")),",",",") &amp; ",", ",4j,", ""))
  ) / LEN(",4j,")
)</f>
        <v>0</v>
      </c>
    </row>
    <row r="74" spans="2:7">
      <c r="B74" s="20" t="s">
        <v>33</v>
      </c>
      <c r="C74" s="20" cm="1">
        <f t="array" ref="C74">SUMPRODUCT(
  (--(TRIM(F9:F58)="evaluation")) *
  (
    (LEN("," &amp; SUBSTITUTE(TRIM(SUBSTITUTE(E9:E58," ","")),",",",") &amp; ",") -
     LEN(SUBSTITUTE("," &amp; SUBSTITUTE(TRIM(SUBSTITUTE(E9:E58," ","")),",",",") &amp; ",", ",2,", ""))
    ) / LEN(",2,")
  )
)</f>
        <v>2</v>
      </c>
      <c r="D74" s="20"/>
      <c r="E74" s="20"/>
      <c r="F74" s="20" t="s">
        <v>33</v>
      </c>
      <c r="G74" s="27" cm="1">
        <f t="array" ref="G74">SUMPRODUCT(
  (--(TRIM(F9:F58)="evaluation"))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75" spans="2:7">
      <c r="B75" s="20" t="s">
        <v>34</v>
      </c>
      <c r="C75" s="27" cm="1">
        <f t="array" ref="C75">SUMPRODUCT(
  (--(TRIM(F9:F58)="scholarship")) *
  (
    (LEN("," &amp; SUBSTITUTE(TRIM(SUBSTITUTE(E9:E58," ","")),",",",") &amp; ",") -
     LEN(SUBSTITUTE("," &amp; SUBSTITUTE(TRIM(SUBSTITUTE(E9:E58," ","")),",",",") &amp; ",", ",2,", ""))
    ) / LEN(",2,")
  )
)</f>
        <v>0</v>
      </c>
      <c r="D75" s="20"/>
      <c r="E75" s="20"/>
      <c r="F75" s="20" t="s">
        <v>34</v>
      </c>
      <c r="G75" s="27" cm="1">
        <f t="array" ref="G75">SUMPRODUCT(
  (--(TRIM(F9:F58)="scholarship"))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76" spans="2:7">
      <c r="B76" s="20" t="s">
        <v>35</v>
      </c>
      <c r="C76" s="27" cm="1">
        <f t="array" ref="C76">SUMPRODUCT(
  (--(TRIM(F9:F58)="passport")) *
  (
    (LEN("," &amp; SUBSTITUTE(TRIM(SUBSTITUTE(E9:E58," ","")),",",",") &amp; ",") -
     LEN(SUBSTITUTE("," &amp; SUBSTITUTE(TRIM(SUBSTITUTE(E9:E58," ","")),",",",") &amp; ",", ",2,", ""))
    ) / LEN(",2,")
  )
)</f>
        <v>0</v>
      </c>
      <c r="D76" s="20"/>
      <c r="E76" s="20"/>
      <c r="F76" s="20" t="s">
        <v>35</v>
      </c>
      <c r="G76" s="27" cm="1">
        <f t="array" ref="G76">SUMPRODUCT(
  (--(TRIM(F9:F58)="passport"))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77" spans="2:7">
      <c r="B77" s="20" t="s">
        <v>36</v>
      </c>
      <c r="C77" s="27" cm="1">
        <f t="array" ref="C77">SUMPRODUCT(
  (--(TRIM(F9:F58)="board exam")) *
  (
    (LEN("," &amp; SUBSTITUTE(TRIM(SUBSTITUTE(E9:E58," ","")),",",",") &amp; ",") -
     LEN(SUBSTITUTE("," &amp; SUBSTITUTE(TRIM(SUBSTITUTE(E9:E58," ","")),",",",") &amp; ",", ",2,", ""))
    ) / LEN(",2,")
  )
)</f>
        <v>0</v>
      </c>
      <c r="D77" s="20"/>
      <c r="E77" s="20"/>
      <c r="F77" s="20" t="s">
        <v>36</v>
      </c>
      <c r="G77" s="27" cm="1">
        <f t="array" ref="G77">SUMPRODUCT(
  (--(TRIM(F9:F58)="board exam"))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78" spans="2:7">
      <c r="B78" s="20" t="s">
        <v>37</v>
      </c>
      <c r="C78" s="27" cm="1">
        <f t="array" ref="C78">SUMPRODUCT(
  (--(TRIM(F9:F58)="employment")) *
  (
    (LEN("," &amp; SUBSTITUTE(TRIM(SUBSTITUTE(E9:E58," ","")),",",",") &amp; ",") -
     LEN(SUBSTITUTE("," &amp; SUBSTITUTE(TRIM(SUBSTITUTE(E9:E58," ","")),",",",") &amp; ",", ",2,", ""))
    ) / LEN(",2,")
  )
)</f>
        <v>0</v>
      </c>
      <c r="D78" s="20"/>
      <c r="E78" s="20"/>
      <c r="F78" s="20" t="s">
        <v>37</v>
      </c>
      <c r="G78" s="27" cm="1">
        <f t="array" ref="G78">SUMPRODUCT(
  (--(TRIM(F9:F58)="employment"))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79" spans="2:7">
      <c r="B79" s="20" t="s">
        <v>38</v>
      </c>
      <c r="C79" s="27" cm="1">
        <f t="array" ref="C79">SUMPRODUCT(
  (--(TRIM(F9:F58)="personal file")) *
  (
    (LEN("," &amp; SUBSTITUTE(TRIM(SUBSTITUTE(E9:E58," ","")),",",",") &amp; ",") -
     LEN(SUBSTITUTE("," &amp; SUBSTITUTE(TRIM(SUBSTITUTE(E9:E58," ","")),",",",") &amp; ",", ",2,", ""))
    ) / LEN(",2,")
  )
)</f>
        <v>0</v>
      </c>
      <c r="D79" s="20"/>
      <c r="E79" s="20"/>
      <c r="F79" s="20" t="s">
        <v>38</v>
      </c>
      <c r="G79" s="27" cm="1">
        <f t="array" ref="G79">SUMPRODUCT(
  (--(TRIM(F9:F58)="personal file"))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80" spans="2:7">
      <c r="B80" s="20" t="s">
        <v>39</v>
      </c>
      <c r="C80" s="27" cm="1">
        <f t="array" ref="C80">SUMPRODUCT(
  (--(TRIM(F9:F58)="advanced studies")) *
  (
    (LEN("," &amp; SUBSTITUTE(TRIM(SUBSTITUTE(E9:E58," ","")),",",",") &amp; ",") -
     LEN(SUBSTITUTE("," &amp; SUBSTITUTE(TRIM(SUBSTITUTE(E9:E58," ","")),",",",") &amp; ",", ",2,", ""))
    ) / LEN(",2,")
  )
)</f>
        <v>0</v>
      </c>
      <c r="D80" s="20"/>
      <c r="E80" s="20"/>
      <c r="F80" s="20" t="s">
        <v>39</v>
      </c>
      <c r="G80" s="27" cm="1">
        <f t="array" ref="G80">SUMPRODUCT(
  (--(TRIM(F9:F58)="advanced studies"))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81" spans="2:7">
      <c r="B81" s="20" t="s">
        <v>40</v>
      </c>
      <c r="C81" s="27" cm="1">
        <f t="array" ref="C81">SUMPRODUCT(
  (--(TRIM(F9:F58)="ranking")) *
  (
    (LEN("," &amp; SUBSTITUTE(TRIM(SUBSTITUTE(E9:E58," ","")),",",",") &amp; ",") -
     LEN(SUBSTITUTE("," &amp; SUBSTITUTE(TRIM(SUBSTITUTE(E9:E58," ","")),",",",") &amp; ",", ",2,", ""))
    ) / LEN(",2,")
  )
)</f>
        <v>0</v>
      </c>
      <c r="D81" s="20"/>
      <c r="E81" s="20"/>
      <c r="F81" s="20" t="s">
        <v>40</v>
      </c>
      <c r="G81" s="27" cm="1">
        <f t="array" ref="G81">SUMPRODUCT(
  (--(TRIM(F9:F58)="ranking")) *
  (
    (LEN("," &amp; SUBSTITUTE(TRIM(SUBSTITUTE(E9:E58," ","")),",",",") &amp; ",") -
     LEN(SUBSTITUTE("," &amp; SUBSTITUTE(TRIM(SUBSTITUTE(E9:E58," ","")),",",",") &amp; ",", ",4j,", ""))
    ) / LEN(",4j,")
  )
)</f>
        <v>0</v>
      </c>
    </row>
    <row r="82" spans="2:7">
      <c r="B82" s="20" t="s">
        <v>41</v>
      </c>
      <c r="C82" s="27">
        <f>(C73)- SUM(C74:C81)</f>
        <v>0</v>
      </c>
      <c r="D82" s="20"/>
      <c r="E82" s="20"/>
      <c r="F82" s="20" t="s">
        <v>41</v>
      </c>
      <c r="G82" s="20">
        <f>(G73)- SUM(G74:G81)</f>
        <v>0</v>
      </c>
    </row>
    <row r="83" spans="2:7">
      <c r="B83" s="12"/>
      <c r="C83" s="27"/>
      <c r="D83" s="17"/>
      <c r="E83" s="20"/>
      <c r="F83" s="16"/>
      <c r="G83" s="17"/>
    </row>
    <row r="84" spans="2:7" ht="15">
      <c r="B84" s="30" t="s">
        <v>3</v>
      </c>
      <c r="C84" s="25" cm="1">
        <f t="array" ref="C84">SUMPRODUCT(
  (LEN("," &amp; SUBSTITUTE(TRIM(SUBSTITUTE(E9:E58," ","")),",",",") &amp; ",") -
   LEN(SUBSTITUTE("," &amp; SUBSTITUTE(TRIM(SUBSTITUTE(E9:E58," ","")),",",",") &amp; ",", ",3,", ""))
  ) / LEN(",3,")
)</f>
        <v>1</v>
      </c>
      <c r="D84" s="17"/>
      <c r="E84" s="20"/>
      <c r="F84" s="26" t="s">
        <v>19</v>
      </c>
      <c r="G84" s="25" cm="1">
        <f t="array" ref="G84">SUMPRODUCT(
  (LEN("," &amp; SUBSTITUTE(TRIM(SUBSTITUTE(E9:E58," ","")),",",",") &amp; ",") -
   LEN(SUBSTITUTE("," &amp; SUBSTITUTE(TRIM(SUBSTITUTE(E9:E58," ","")),",",",") &amp; ",", ",4k,", ""))
  ) / LEN(",4k,")
)</f>
        <v>0</v>
      </c>
    </row>
    <row r="85" spans="2:7">
      <c r="B85" s="20" t="s">
        <v>33</v>
      </c>
      <c r="C85" s="31" cm="1">
        <f t="array" ref="C85">SUMPRODUCT(
  (--(TRIM(F9:F58)="evaluation")) *
  (
    (LEN("," &amp; SUBSTITUTE(TRIM(SUBSTITUTE(E9:E58," ","")),",",",") &amp; ",") -
     LEN(SUBSTITUTE("," &amp; SUBSTITUTE(TRIM(SUBSTITUTE(E9:E58," ","")),",",",") &amp; ",", ",3,", ""))
    ) / LEN(",3,")
  )
)</f>
        <v>0</v>
      </c>
      <c r="D85" s="15"/>
      <c r="E85" s="20"/>
      <c r="F85" s="20" t="s">
        <v>33</v>
      </c>
      <c r="G85" s="27" cm="1">
        <f t="array" ref="G85">SUMPRODUCT(
  (--(TRIM(F9:F58)="evaluation"))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86" spans="2:7">
      <c r="B86" s="20" t="s">
        <v>34</v>
      </c>
      <c r="C86" s="27" cm="1">
        <f t="array" ref="C86">SUMPRODUCT(
  (--(TRIM(F9:F58)="scholarship")) *
  (
    (LEN("," &amp; SUBSTITUTE(TRIM(SUBSTITUTE(E9:E58," ","")),",",",") &amp; ",") -
     LEN(SUBSTITUTE("," &amp; SUBSTITUTE(TRIM(SUBSTITUTE(E9:E58," ","")),",",",") &amp; ",", ",3,", ""))
    ) / LEN(",3,")
  )
)</f>
        <v>0</v>
      </c>
      <c r="D86" s="17"/>
      <c r="E86" s="20"/>
      <c r="F86" s="20" t="s">
        <v>34</v>
      </c>
      <c r="G86" s="27" cm="1">
        <f t="array" ref="G86">SUMPRODUCT(
  (--(TRIM(F9:F58)="scholarship"))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87" spans="2:7">
      <c r="B87" s="20" t="s">
        <v>35</v>
      </c>
      <c r="C87" s="27" cm="1">
        <f t="array" ref="C87">SUMPRODUCT(
  (--(TRIM(F9:F58)="passport")) *
  (
    (LEN("," &amp; SUBSTITUTE(TRIM(SUBSTITUTE(E9:E58," ","")),",",",") &amp; ",") -
     LEN(SUBSTITUTE("," &amp; SUBSTITUTE(TRIM(SUBSTITUTE(E9:E58," ","")),",",",") &amp; ",", ",3,", ""))
    ) / LEN(",3,")
  )
)</f>
        <v>0</v>
      </c>
      <c r="D87" s="17"/>
      <c r="E87" s="20"/>
      <c r="F87" s="20" t="s">
        <v>35</v>
      </c>
      <c r="G87" s="27" cm="1">
        <f t="array" ref="G87">SUMPRODUCT(
  (--(TRIM(F9:F58)="passport"))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88" spans="2:7">
      <c r="B88" s="20" t="s">
        <v>36</v>
      </c>
      <c r="C88" s="31" cm="1">
        <f t="array" ref="C88">SUMPRODUCT(
  (--(TRIM(F9:F58)="board exam")) *
  (
    (LEN("," &amp; SUBSTITUTE(TRIM(SUBSTITUTE(E9:E58," ","")),",",",") &amp; ",") -
     LEN(SUBSTITUTE("," &amp; SUBSTITUTE(TRIM(SUBSTITUTE(E9:E58," ","")),",",",") &amp; ",", ",3,", ""))
    ) / LEN(",3,")
  )
)</f>
        <v>0</v>
      </c>
      <c r="D88" s="17"/>
      <c r="E88" s="20"/>
      <c r="F88" s="20" t="s">
        <v>36</v>
      </c>
      <c r="G88" s="27" cm="1">
        <f t="array" ref="G88">SUMPRODUCT(
  (--(TRIM(F9:F58)="board exam"))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89" spans="2:7">
      <c r="B89" s="20" t="s">
        <v>37</v>
      </c>
      <c r="C89" s="27" cm="1">
        <f t="array" ref="C89">SUMPRODUCT(
  (--(TRIM(F9:F58)="employment")) *
  (
    (LEN("," &amp; SUBSTITUTE(TRIM(SUBSTITUTE(E9:E58," ","")),",",",") &amp; ",") -
     LEN(SUBSTITUTE("," &amp; SUBSTITUTE(TRIM(SUBSTITUTE(E9:E58," ","")),",",",") &amp; ",", ",3,", ""))
    ) / LEN(",3,")
  )
)</f>
        <v>1</v>
      </c>
      <c r="D89" s="17"/>
      <c r="E89" s="20"/>
      <c r="F89" s="20" t="s">
        <v>37</v>
      </c>
      <c r="G89" s="27" cm="1">
        <f t="array" ref="G89">SUMPRODUCT(
  (--(TRIM(F9:F58)="employment"))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90" spans="2:7">
      <c r="B90" s="20" t="s">
        <v>38</v>
      </c>
      <c r="C90" s="27" cm="1">
        <f t="array" ref="C90">SUMPRODUCT(
  (--(TRIM(F9:F58)="personal file")) *
  (
    (LEN("," &amp; SUBSTITUTE(TRIM(SUBSTITUTE(E9:E58," ","")),",",",") &amp; ",") -
     LEN(SUBSTITUTE("," &amp; SUBSTITUTE(TRIM(SUBSTITUTE(E9:E58," ","")),",",",") &amp; ",", ",3,", ""))
    ) / LEN(",3,")
  )
)</f>
        <v>0</v>
      </c>
      <c r="D90" s="17"/>
      <c r="E90" s="20"/>
      <c r="F90" s="20" t="s">
        <v>38</v>
      </c>
      <c r="G90" s="27" cm="1">
        <f t="array" ref="G90">SUMPRODUCT(
  (--(TRIM(F9:F58)="personal file"))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91" spans="2:7">
      <c r="B91" s="20" t="s">
        <v>39</v>
      </c>
      <c r="C91" s="27" cm="1">
        <f t="array" ref="C91">SUMPRODUCT(
  (--(TRIM(F9:F58)="advanced studies")) *
  (
    (LEN("," &amp; SUBSTITUTE(TRIM(SUBSTITUTE(E9:E58," ","")),",",",") &amp; ",") -
     LEN(SUBSTITUTE("," &amp; SUBSTITUTE(TRIM(SUBSTITUTE(E9:E58," ","")),",",",") &amp; ",", ",3,", ""))
    ) / LEN(",3,")
  )
)</f>
        <v>0</v>
      </c>
      <c r="D91" s="17"/>
      <c r="E91" s="20"/>
      <c r="F91" s="20" t="s">
        <v>39</v>
      </c>
      <c r="G91" s="27" cm="1">
        <f t="array" ref="G91">SUMPRODUCT(
  (--(TRIM(F9:F58)="advanced studies"))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92" spans="2:7">
      <c r="B92" s="20" t="s">
        <v>40</v>
      </c>
      <c r="C92" s="31" cm="1">
        <f t="array" ref="C92">SUMPRODUCT(
  (--(TRIM(F9:F58)="ranking")) *
  (
    (LEN("," &amp; SUBSTITUTE(TRIM(SUBSTITUTE(E9:E58," ","")),",",",") &amp; ",") -
     LEN(SUBSTITUTE("," &amp; SUBSTITUTE(TRIM(SUBSTITUTE(E9:E58," ","")),",",",") &amp; ",", ",3,", ""))
    ) / LEN(",3,")
  )
)</f>
        <v>0</v>
      </c>
      <c r="D92" s="15"/>
      <c r="E92" s="20"/>
      <c r="F92" s="20" t="s">
        <v>40</v>
      </c>
      <c r="G92" s="27" cm="1">
        <f t="array" ref="G92">SUMPRODUCT(
  (--(TRIM(F9:F58)="ranking")) *
  (
    (LEN("," &amp; SUBSTITUTE(TRIM(SUBSTITUTE(E9:E58," ","")),",",",") &amp; ",") -
     LEN(SUBSTITUTE("," &amp; SUBSTITUTE(TRIM(SUBSTITUTE(E9:E58," ","")),",",",") &amp; ",", ",4k,", ""))
    ) / LEN(",4k,")
  )
)</f>
        <v>0</v>
      </c>
    </row>
    <row r="93" spans="2:7">
      <c r="B93" s="20" t="s">
        <v>41</v>
      </c>
      <c r="C93" s="27">
        <f>(C84)- SUM(C85:C92)</f>
        <v>0</v>
      </c>
      <c r="D93" s="17"/>
      <c r="E93" s="20"/>
      <c r="F93" s="20" t="s">
        <v>41</v>
      </c>
      <c r="G93" s="27">
        <f>(G84)- SUM(G85:G92)</f>
        <v>0</v>
      </c>
    </row>
    <row r="94" spans="2:7">
      <c r="B94" s="12"/>
      <c r="C94" s="27"/>
      <c r="D94" s="17"/>
      <c r="E94" s="20"/>
      <c r="F94" s="16"/>
      <c r="G94" s="27"/>
    </row>
    <row r="95" spans="2:7" ht="15">
      <c r="B95" s="28" t="s">
        <v>42</v>
      </c>
      <c r="C95" s="32" cm="1">
        <f t="array" ref="C95">SUMPRODUCT(
  (LEN("," &amp; SUBSTITUTE(TRIM(SUBSTITUTE(E9:E58," ","")),",",",") &amp; ",") -
   LEN(SUBSTITUTE("," &amp; SUBSTITUTE(TRIM(SUBSTITUTE(E9:E58," ","")),",",",") &amp; ",", ",4a,", ""))
  ) / LEN(",4a,")
)</f>
        <v>3</v>
      </c>
      <c r="D95" s="17"/>
      <c r="E95" s="20"/>
      <c r="F95" s="26" t="s">
        <v>22</v>
      </c>
      <c r="G95" s="25" cm="1">
        <f t="array" ref="G95">SUMPRODUCT(
  (LEN("," &amp; SUBSTITUTE(TRIM(SUBSTITUTE(E9:E58," ","")),",",",") &amp; ",") -
   LEN(SUBSTITUTE("," &amp; SUBSTITUTE(TRIM(SUBSTITUTE(E9:E58," ","")),",",",") &amp; ",", ",4l,", ""))
  ) / LEN(",4l,")
)</f>
        <v>0</v>
      </c>
    </row>
    <row r="96" spans="2:7">
      <c r="B96" s="20" t="s">
        <v>33</v>
      </c>
      <c r="C96" s="31" cm="1">
        <f t="array" ref="C96">SUMPRODUCT(
  (--(TRIM(F9:F58)="evaluation")) *
  (
    (LEN("," &amp; SUBSTITUTE(TRIM(SUBSTITUTE(E9:E58," ","")),",",",") &amp; ",") -
     LEN(SUBSTITUTE("," &amp; SUBSTITUTE(TRIM(SUBSTITUTE(E9:E58," ","")),",",",") &amp; ",", ",4a,", ""))
    ) / LEN(",4a,")
  )
)</f>
        <v>0</v>
      </c>
      <c r="D96" s="17"/>
      <c r="E96" s="20"/>
      <c r="F96" s="20" t="s">
        <v>33</v>
      </c>
      <c r="G96" s="27" cm="1">
        <f t="array" ref="G96">SUMPRODUCT(
  (--(TRIM(F9:F58)="evaluation"))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97" spans="2:7">
      <c r="B97" s="20" t="s">
        <v>34</v>
      </c>
      <c r="C97" s="27" cm="1">
        <f t="array" ref="C97">SUMPRODUCT(
  (--(TRIM(F9:F58)="scholarship")) *
  (
    (LEN("," &amp; SUBSTITUTE(TRIM(SUBSTITUTE(E9:E58," ","")),",",",") &amp; ",") -
     LEN(SUBSTITUTE("," &amp; SUBSTITUTE(TRIM(SUBSTITUTE(E9:E58," ","")),",",",") &amp; ",", ",4a,", ""))
    ) / LEN(",4a,")
  )
)</f>
        <v>3</v>
      </c>
      <c r="D97" s="17"/>
      <c r="E97" s="20"/>
      <c r="F97" s="20" t="s">
        <v>34</v>
      </c>
      <c r="G97" s="27" cm="1">
        <f t="array" ref="G97">SUMPRODUCT(
  (--(TRIM(F9:F58)="scholarship"))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98" spans="2:7">
      <c r="B98" s="20" t="s">
        <v>35</v>
      </c>
      <c r="C98" s="27" cm="1">
        <f t="array" ref="C98">SUMPRODUCT(
  (--(TRIM(F9:F58)="passport")) *
  (
    (LEN("," &amp; SUBSTITUTE(TRIM(SUBSTITUTE(E9:E58," ","")),",",",") &amp; ",") -
     LEN(SUBSTITUTE("," &amp; SUBSTITUTE(TRIM(SUBSTITUTE(E9:E58," ","")),",",",") &amp; ",", ",4a,", ""))
    ) / LEN(",4a,")
  )
)</f>
        <v>0</v>
      </c>
      <c r="D98" s="17"/>
      <c r="E98" s="20"/>
      <c r="F98" s="20" t="s">
        <v>35</v>
      </c>
      <c r="G98" s="27" cm="1">
        <f t="array" ref="G98">SUMPRODUCT(
  (--(TRIM(F9:F58)="passport"))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99" spans="2:7">
      <c r="B99" s="20" t="s">
        <v>36</v>
      </c>
      <c r="C99" s="27" cm="1">
        <f t="array" ref="C99">SUMPRODUCT(
  (--(TRIM(F9:F58)="board exam")) *
  (
    (LEN("," &amp; SUBSTITUTE(TRIM(SUBSTITUTE(E9:E58," ","")),",",",") &amp; ",") -
     LEN(SUBSTITUTE("," &amp; SUBSTITUTE(TRIM(SUBSTITUTE(E9:E58," ","")),",",",") &amp; ",", ",4a,", ""))
    ) / LEN(",4a,")
  )
)</f>
        <v>0</v>
      </c>
      <c r="D99" s="17"/>
      <c r="E99" s="20"/>
      <c r="F99" s="20" t="s">
        <v>36</v>
      </c>
      <c r="G99" s="27" cm="1">
        <f t="array" ref="G99">SUMPRODUCT(
  (--(TRIM(F9:F58)="board exam"))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100" spans="2:7">
      <c r="B100" s="20" t="s">
        <v>37</v>
      </c>
      <c r="C100" s="27" cm="1">
        <f t="array" ref="C100">SUMPRODUCT(
  (--(TRIM(F9:F58)="employment")) *
  (
    (LEN("," &amp; SUBSTITUTE(TRIM(SUBSTITUTE(E9:E58," ","")),",",",") &amp; ",") -
     LEN(SUBSTITUTE("," &amp; SUBSTITUTE(TRIM(SUBSTITUTE(E9:E58," ","")),",",",") &amp; ",", ",4a,", ""))
    ) / LEN(",4a,")
  )
)</f>
        <v>0</v>
      </c>
      <c r="D100" s="17"/>
      <c r="E100" s="20"/>
      <c r="F100" s="20" t="s">
        <v>37</v>
      </c>
      <c r="G100" s="27" cm="1">
        <f t="array" ref="G100">SUMPRODUCT(
  (--(TRIM(F9:F58)="employment"))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101" spans="2:7">
      <c r="B101" s="20" t="s">
        <v>38</v>
      </c>
      <c r="C101" s="27" cm="1">
        <f t="array" ref="C101">SUMPRODUCT(
  (--(TRIM(F9:F58)="personal file")) *
  (
    (LEN("," &amp; SUBSTITUTE(TRIM(SUBSTITUTE(E9:E58," ","")),",",",") &amp; ",") -
     LEN(SUBSTITUTE("," &amp; SUBSTITUTE(TRIM(SUBSTITUTE(E9:E58," ","")),",",",") &amp; ",", ",4a,", ""))
    ) / LEN(",4a,")
  )
)</f>
        <v>0</v>
      </c>
      <c r="D101" s="17"/>
      <c r="E101" s="20"/>
      <c r="F101" s="20" t="s">
        <v>38</v>
      </c>
      <c r="G101" s="27" cm="1">
        <f t="array" ref="G101">SUMPRODUCT(
  (--(TRIM(F9:F58)="personal file"))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102" spans="2:7">
      <c r="B102" s="20" t="s">
        <v>39</v>
      </c>
      <c r="C102" s="27" cm="1">
        <f t="array" ref="C102">SUMPRODUCT(
  (--(TRIM(F9:F58)="advanced studies")) *
  (
    (LEN("," &amp; SUBSTITUTE(TRIM(SUBSTITUTE(E9:E58," ","")),",",",") &amp; ",") -
     LEN(SUBSTITUTE("," &amp; SUBSTITUTE(TRIM(SUBSTITUTE(E9:E58," ","")),",",",") &amp; ",", ",4a,", ""))
    ) / LEN(",4a,")
  )
)</f>
        <v>0</v>
      </c>
      <c r="D102" s="17"/>
      <c r="E102" s="20"/>
      <c r="F102" s="20" t="s">
        <v>39</v>
      </c>
      <c r="G102" s="27" cm="1">
        <f t="array" ref="G102">SUMPRODUCT(
  (--(TRIM(F9:F58)="advanced studies"))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103" spans="2:7">
      <c r="B103" s="20" t="s">
        <v>40</v>
      </c>
      <c r="C103" s="27" cm="1">
        <f t="array" ref="C103">SUMPRODUCT(
  (--(TRIM(F9:F58)="ranking")) *
  (
    (LEN("," &amp; SUBSTITUTE(TRIM(SUBSTITUTE(E9:E58," ","")),",",",") &amp; ",") -
     LEN(SUBSTITUTE("," &amp; SUBSTITUTE(TRIM(SUBSTITUTE(E9:E58," ","")),",",",") &amp; ",", ",4a,", ""))
    ) / LEN(",4a,")
  )
)</f>
        <v>0</v>
      </c>
      <c r="D103" s="17"/>
      <c r="E103" s="20"/>
      <c r="F103" s="20" t="s">
        <v>40</v>
      </c>
      <c r="G103" s="27" cm="1">
        <f t="array" ref="G103">SUMPRODUCT(
  (--(TRIM(F9:F58)="ranking")) *
  (
    (LEN("," &amp; SUBSTITUTE(TRIM(SUBSTITUTE(E9:E58," ","")),",",",") &amp; ",") -
     LEN(SUBSTITUTE("," &amp; SUBSTITUTE(TRIM(SUBSTITUTE(E9:E58," ","")),",",",") &amp; ",", ",4l,", ""))
    ) / LEN(",4l,")
  )
)</f>
        <v>0</v>
      </c>
    </row>
    <row r="104" spans="2:7">
      <c r="B104" s="20" t="s">
        <v>41</v>
      </c>
      <c r="C104" s="27">
        <f>C95 - SUM(C96:C103)</f>
        <v>0</v>
      </c>
      <c r="D104" s="17"/>
      <c r="E104" s="20"/>
      <c r="F104" s="20" t="s">
        <v>41</v>
      </c>
      <c r="G104" s="27">
        <f>(G95)- SUM(G96:G103)</f>
        <v>0</v>
      </c>
    </row>
    <row r="105" spans="2:7">
      <c r="B105" s="12"/>
      <c r="C105" s="27"/>
      <c r="D105" s="17"/>
      <c r="E105" s="20"/>
      <c r="F105" s="16"/>
      <c r="G105" s="27"/>
    </row>
    <row r="106" spans="2:7" ht="15">
      <c r="B106" s="28" t="s">
        <v>12</v>
      </c>
      <c r="C106" s="25" cm="1">
        <f t="array" ref="C106">SUMPRODUCT(
  (LEN("," &amp; SUBSTITUTE(TRIM(SUBSTITUTE(E9:E58," ","")),",",",") &amp; ",") -
   LEN(SUBSTITUTE("," &amp; SUBSTITUTE(TRIM(SUBSTITUTE(E9:E58," ","")),",",",") &amp; ",", ",4b,", ""))
  ) / LEN(",4b,")
)</f>
        <v>0</v>
      </c>
      <c r="D106" s="17"/>
      <c r="E106" s="20"/>
      <c r="F106" s="26" t="s">
        <v>5</v>
      </c>
      <c r="G106" s="25" cm="1">
        <f t="array" ref="G106">SUMPRODUCT(
  (LEN("," &amp; SUBSTITUTE(TRIM(SUBSTITUTE(E9:E58," ","")),",",",") &amp; ",") -
   LEN(SUBSTITUTE("," &amp; SUBSTITUTE(TRIM(SUBSTITUTE(E9:E58," ","")),",",",") &amp; ",", ",5,", ""))
  ) / LEN(",5,")
)</f>
        <v>0</v>
      </c>
    </row>
    <row r="107" spans="2:7">
      <c r="B107" s="20" t="s">
        <v>33</v>
      </c>
      <c r="C107" s="27" cm="1">
        <f t="array" ref="C107">SUMPRODUCT(
  (--(TRIM(F9:F58)="evaluation")) *
  (
    (LEN("," &amp; SUBSTITUTE(TRIM(SUBSTITUTE(E9:E58," ","")),",",",") &amp; ",") -
     LEN(SUBSTITUTE("," &amp; SUBSTITUTE(TRIM(SUBSTITUTE(E9:E58," ","")),",",",") &amp; ",", ",4b,", ""))
    ) / LEN(",4b,")
  )
)</f>
        <v>0</v>
      </c>
      <c r="D107" s="17"/>
      <c r="E107" s="20"/>
      <c r="F107" s="20" t="s">
        <v>33</v>
      </c>
      <c r="G107" s="27" cm="1">
        <f t="array" ref="G107">SUMPRODUCT(
  (--(TRIM(F9:F58)="evaluation"))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08" spans="2:7">
      <c r="B108" s="20" t="s">
        <v>34</v>
      </c>
      <c r="C108" s="27" cm="1">
        <f t="array" ref="C108">SUMPRODUCT(
  (--(TRIM(F9:F58)="scholarship")) *
  (
    (LEN("," &amp; SUBSTITUTE(TRIM(SUBSTITUTE(E9:E58," ","")),",",",") &amp; ",") -
     LEN(SUBSTITUTE("," &amp; SUBSTITUTE(TRIM(SUBSTITUTE(E9:E58," ","")),",",",") &amp; ",", ",4b,", ""))
    ) / LEN(",4b,")
  )
)</f>
        <v>0</v>
      </c>
      <c r="D108" s="17"/>
      <c r="E108" s="20"/>
      <c r="F108" s="20" t="s">
        <v>34</v>
      </c>
      <c r="G108" s="27" cm="1">
        <f t="array" ref="G108">SUMPRODUCT(
  (--(TRIM(F9:F58)="scholarship"))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09" spans="2:7">
      <c r="B109" s="20" t="s">
        <v>35</v>
      </c>
      <c r="C109" s="27" cm="1">
        <f t="array" ref="C109">SUMPRODUCT(
  (--(TRIM(F9:F58)="passport")) *
  (
    (LEN("," &amp; SUBSTITUTE(TRIM(SUBSTITUTE(E9:E58," ","")),",",",") &amp; ",") -
     LEN(SUBSTITUTE("," &amp; SUBSTITUTE(TRIM(SUBSTITUTE(E9:E58," ","")),",",",") &amp; ",", ",4b,", ""))
    ) / LEN(",4b,")
  )
)</f>
        <v>0</v>
      </c>
      <c r="D109" s="15"/>
      <c r="E109" s="20"/>
      <c r="F109" s="20" t="s">
        <v>35</v>
      </c>
      <c r="G109" s="27" cm="1">
        <f t="array" ref="G109">SUMPRODUCT(
  (--(TRIM(F9:F58)="passport"))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10" spans="2:7">
      <c r="B110" s="20" t="s">
        <v>36</v>
      </c>
      <c r="C110" s="27" cm="1">
        <f t="array" ref="C110">SUMPRODUCT(
  (--(TRIM(F9:F58)="board exam")) *
  (
    (LEN("," &amp; SUBSTITUTE(TRIM(SUBSTITUTE(E9:E58," ","")),",",",") &amp; ",") -
     LEN(SUBSTITUTE("," &amp; SUBSTITUTE(TRIM(SUBSTITUTE(E9:E58," ","")),",",",") &amp; ",", ",4b,", ""))
    ) / LEN(",4b,")
  )
)</f>
        <v>0</v>
      </c>
      <c r="D110" s="17"/>
      <c r="E110" s="20"/>
      <c r="F110" s="20" t="s">
        <v>36</v>
      </c>
      <c r="G110" s="27" cm="1">
        <f t="array" ref="G110">SUMPRODUCT(
  (--(TRIM(F9:F58)="board exam"))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11" spans="2:7">
      <c r="B111" s="20" t="s">
        <v>37</v>
      </c>
      <c r="C111" s="27" cm="1">
        <f t="array" ref="C111">SUMPRODUCT(
  (--(TRIM(F9:F58)="employment")) *
  (
    (LEN("," &amp; SUBSTITUTE(TRIM(SUBSTITUTE(E9:E58," ","")),",",",") &amp; ",") -
     LEN(SUBSTITUTE("," &amp; SUBSTITUTE(TRIM(SUBSTITUTE(E9:E58," ","")),",",",") &amp; ",", ",4b,", ""))
    ) / LEN(",4b,")
  )
)</f>
        <v>0</v>
      </c>
      <c r="D111" s="17"/>
      <c r="E111" s="20"/>
      <c r="F111" s="20" t="s">
        <v>37</v>
      </c>
      <c r="G111" s="27" cm="1">
        <f t="array" ref="G111">SUMPRODUCT(
  (--(TRIM(F9:F58)="employment"))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12" spans="2:7">
      <c r="B112" s="20" t="s">
        <v>38</v>
      </c>
      <c r="C112" s="27" cm="1">
        <f t="array" ref="C112">SUMPRODUCT(
  (--(TRIM(F9:F58)="personal file")) *
  (
    (LEN("," &amp; SUBSTITUTE(TRIM(SUBSTITUTE(E9:E58," ","")),",",",") &amp; ",") -
     LEN(SUBSTITUTE("," &amp; SUBSTITUTE(TRIM(SUBSTITUTE(E9:E58," ","")),",",",") &amp; ",", ",4b,", ""))
    ) / LEN(",4b,")
  )
)</f>
        <v>0</v>
      </c>
      <c r="D112" s="17"/>
      <c r="E112" s="20"/>
      <c r="F112" s="20" t="s">
        <v>38</v>
      </c>
      <c r="G112" s="27" cm="1">
        <f t="array" ref="G112">SUMPRODUCT(
  (--(TRIM(F9:F58)="personal file"))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13" spans="2:7">
      <c r="B113" s="20" t="s">
        <v>39</v>
      </c>
      <c r="C113" s="27" cm="1">
        <f t="array" ref="C113">SUMPRODUCT(
  (--(TRIM(F9:F58)="advanced studies")) *
  (
    (LEN("," &amp; SUBSTITUTE(TRIM(SUBSTITUTE(E9:E58," ","")),",",",") &amp; ",") -
     LEN(SUBSTITUTE("," &amp; SUBSTITUTE(TRIM(SUBSTITUTE(E9:E58," ","")),",",",") &amp; ",", ",4b,", ""))
    ) / LEN(",4b,")
  )
)</f>
        <v>0</v>
      </c>
      <c r="D113" s="17"/>
      <c r="E113" s="20"/>
      <c r="F113" s="20" t="s">
        <v>39</v>
      </c>
      <c r="G113" s="27" cm="1">
        <f t="array" ref="G113">SUMPRODUCT(
  (--(TRIM(F9:F58)="advanced studies"))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14" spans="2:7">
      <c r="B114" s="20" t="s">
        <v>40</v>
      </c>
      <c r="C114" s="27" cm="1">
        <f t="array" ref="C114">SUMPRODUCT(
  (--(TRIM(F9:F58)="ranking")) *
  (
    (LEN("," &amp; SUBSTITUTE(TRIM(SUBSTITUTE(E9:E58," ","")),",",",") &amp; ",") -
     LEN(SUBSTITUTE("," &amp; SUBSTITUTE(TRIM(SUBSTITUTE(E9:E58," ","")),",",",") &amp; ",", ",4b,", ""))
    ) / LEN(",4b,")
  )
)</f>
        <v>0</v>
      </c>
      <c r="D114" s="17"/>
      <c r="E114" s="20"/>
      <c r="F114" s="20" t="s">
        <v>40</v>
      </c>
      <c r="G114" s="27" cm="1">
        <f t="array" ref="G114">SUMPRODUCT(
  (--(TRIM(F9:F58)="ranking")) *
  (
    (LEN("," &amp; SUBSTITUTE(TRIM(SUBSTITUTE(E9:E58," ","")),",",",") &amp; ",") -
     LEN(SUBSTITUTE("," &amp; SUBSTITUTE(TRIM(SUBSTITUTE(E9:E58," ","")),",",",") &amp; ",", ",5,", ""))
    ) / LEN(",5,")
  )
)</f>
        <v>0</v>
      </c>
    </row>
    <row r="115" spans="2:7">
      <c r="B115" s="20" t="s">
        <v>41</v>
      </c>
      <c r="C115" s="27">
        <f>(C106)- SUM(C107:C114)</f>
        <v>0</v>
      </c>
      <c r="D115" s="15"/>
      <c r="E115" s="20"/>
      <c r="F115" s="20" t="s">
        <v>41</v>
      </c>
      <c r="G115" s="27">
        <f>(G106)- SUM(G107:G114)</f>
        <v>0</v>
      </c>
    </row>
    <row r="116" spans="2:7">
      <c r="B116" s="20"/>
      <c r="C116" s="27"/>
      <c r="D116" s="20"/>
      <c r="E116" s="20"/>
      <c r="F116" s="20"/>
      <c r="G116" s="27"/>
    </row>
    <row r="117" spans="2:7" ht="15">
      <c r="B117" s="26" t="s">
        <v>43</v>
      </c>
      <c r="C117" s="25" cm="1">
        <f t="array" ref="C117">SUMPRODUCT(
  (LEN("," &amp; SUBSTITUTE(TRIM(SUBSTITUTE(E9:E58," ","")),",",",") &amp; ",") -
   LEN(SUBSTITUTE("," &amp; SUBSTITUTE(TRIM(SUBSTITUTE(E9:E58," ","")),",",",") &amp; ",", ",4c,", ""))
  ) / LEN(",4c,")
)</f>
        <v>0</v>
      </c>
      <c r="D117" s="20"/>
      <c r="E117" s="20"/>
      <c r="F117" s="28" t="s">
        <v>10</v>
      </c>
      <c r="G117" s="25" cm="1">
        <f t="array" ref="G117">SUMPRODUCT(
  (LEN("," &amp; SUBSTITUTE(TRIM(SUBSTITUTE(E9:E58," ","")),",",",") &amp; ",") -
   LEN(SUBSTITUTE("," &amp; SUBSTITUTE(TRIM(SUBSTITUTE(E9:E58," ","")),",",",") &amp; ",", ",6,", ""))
  ) / LEN(",6,")
)</f>
        <v>0</v>
      </c>
    </row>
    <row r="118" spans="2:7">
      <c r="B118" s="20" t="s">
        <v>33</v>
      </c>
      <c r="C118" s="27" cm="1">
        <f t="array" ref="C118">SUMPRODUCT(
  (--(TRIM(F9:F58)="evaluation")) *
  (
    (LEN("," &amp; SUBSTITUTE(TRIM(SUBSTITUTE(E9:E58," ","")),",",",") &amp; ",") -
     LEN(SUBSTITUTE("," &amp; SUBSTITUTE(TRIM(SUBSTITUTE(E9:E58," ","")),",",",") &amp; ",", ",4c,", ""))
    ) / LEN(",4c,")
  )
)</f>
        <v>0</v>
      </c>
      <c r="D118" s="20"/>
      <c r="E118" s="20"/>
      <c r="F118" s="20" t="s">
        <v>33</v>
      </c>
      <c r="G118" s="27" cm="1">
        <f t="array" ref="G118">SUMPRODUCT(
  (--(TRIM(F9:F58)="evaluation"))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19" spans="2:7">
      <c r="B119" s="20" t="s">
        <v>34</v>
      </c>
      <c r="C119" s="27" cm="1">
        <f t="array" ref="C119">SUMPRODUCT(
  (--(TRIM(F9:F58)="scholarship")) *
  (
    (LEN("," &amp; SUBSTITUTE(TRIM(SUBSTITUTE(E9:E58," ","")),",",",") &amp; ",") -
     LEN(SUBSTITUTE("," &amp; SUBSTITUTE(TRIM(SUBSTITUTE(E9:E58," ","")),",",",") &amp; ",", ",4c,", ""))
    ) / LEN(",4c,")
  )
)</f>
        <v>0</v>
      </c>
      <c r="D119" s="20"/>
      <c r="E119" s="20"/>
      <c r="F119" s="20" t="s">
        <v>34</v>
      </c>
      <c r="G119" s="27" cm="1">
        <f t="array" ref="G119">SUMPRODUCT(
  (--(TRIM(F9:F58)="scholarship"))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20" spans="2:7">
      <c r="B120" s="20" t="s">
        <v>35</v>
      </c>
      <c r="C120" s="27" cm="1">
        <f t="array" ref="C120">SUMPRODUCT(
  (--(TRIM(F9:F58)="passport")) *
  (
    (LEN("," &amp; SUBSTITUTE(TRIM(SUBSTITUTE(E9:E58," ","")),",",",") &amp; ",") -
     LEN(SUBSTITUTE("," &amp; SUBSTITUTE(TRIM(SUBSTITUTE(E9:E58," ","")),",",",") &amp; ",", ",4c,", ""))
    ) / LEN(",4c,")
  )
)</f>
        <v>0</v>
      </c>
      <c r="D120" s="20"/>
      <c r="E120" s="20"/>
      <c r="F120" s="20" t="s">
        <v>35</v>
      </c>
      <c r="G120" s="27" cm="1">
        <f t="array" ref="G120">SUMPRODUCT(
  (--(TRIM(F9:F58)="passport"))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21" spans="2:7">
      <c r="B121" s="20" t="s">
        <v>36</v>
      </c>
      <c r="C121" s="27" cm="1">
        <f t="array" ref="C121">SUMPRODUCT(
  (--(TRIM(F9:F58)="board exam")) *
  (
    (LEN("," &amp; SUBSTITUTE(TRIM(SUBSTITUTE(E9:E58," ","")),",",",") &amp; ",") -
     LEN(SUBSTITUTE("," &amp; SUBSTITUTE(TRIM(SUBSTITUTE(E9:E58," ","")),",",",") &amp; ",", ",4c,", ""))
    ) / LEN(",4c,")
  )
)</f>
        <v>0</v>
      </c>
      <c r="D121" s="20"/>
      <c r="E121" s="20"/>
      <c r="F121" s="20" t="s">
        <v>36</v>
      </c>
      <c r="G121" s="27" cm="1">
        <f t="array" ref="G121">SUMPRODUCT(
  (--(TRIM(F9:F58)="board exam"))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22" spans="2:7">
      <c r="B122" s="20" t="s">
        <v>37</v>
      </c>
      <c r="C122" s="27" cm="1">
        <f t="array" ref="C122">SUMPRODUCT(
  (--(TRIM(F9:F58)="employment")) *
  (
    (LEN("," &amp; SUBSTITUTE(TRIM(SUBSTITUTE(E9:E58," ","")),",",",") &amp; ",") -
     LEN(SUBSTITUTE("," &amp; SUBSTITUTE(TRIM(SUBSTITUTE(E9:E58," ","")),",",",") &amp; ",", ",4c,", ""))
    ) / LEN(",4c,")
  )
)</f>
        <v>0</v>
      </c>
      <c r="D122" s="20"/>
      <c r="E122" s="20"/>
      <c r="F122" s="20" t="s">
        <v>37</v>
      </c>
      <c r="G122" s="27" cm="1">
        <f t="array" ref="G122">SUMPRODUCT(
  (--(TRIM(F9:F58)="employment"))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23" spans="2:7">
      <c r="B123" s="20" t="s">
        <v>38</v>
      </c>
      <c r="C123" s="27" cm="1">
        <f t="array" ref="C123">SUMPRODUCT(
  (--(TRIM(F9:F58)="personal file")) *
  (
    (LEN("," &amp; SUBSTITUTE(TRIM(SUBSTITUTE(E9:E58," ","")),",",",") &amp; ",") -
     LEN(SUBSTITUTE("," &amp; SUBSTITUTE(TRIM(SUBSTITUTE(E9:E58," ","")),",",",") &amp; ",", ",4c,", ""))
    ) / LEN(",4c,")
  )
)</f>
        <v>0</v>
      </c>
      <c r="D123" s="20"/>
      <c r="E123" s="20"/>
      <c r="F123" s="20" t="s">
        <v>38</v>
      </c>
      <c r="G123" s="27" cm="1">
        <f t="array" ref="G123">SUMPRODUCT(
  (--(TRIM(F9:F58)="personal file"))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24" spans="2:7">
      <c r="B124" s="20" t="s">
        <v>39</v>
      </c>
      <c r="C124" s="27" cm="1">
        <f t="array" ref="C124">SUMPRODUCT(
  (--(TRIM(F9:F58)="advanced studies")) *
  (
    (LEN("," &amp; SUBSTITUTE(TRIM(SUBSTITUTE(E9:E58," ","")),",",",") &amp; ",") -
     LEN(SUBSTITUTE("," &amp; SUBSTITUTE(TRIM(SUBSTITUTE(E9:E58," ","")),",",",") &amp; ",", ",4c,", ""))
    ) / LEN(",4c,")
  )
)</f>
        <v>0</v>
      </c>
      <c r="D124" s="20"/>
      <c r="E124" s="20"/>
      <c r="F124" s="20" t="s">
        <v>39</v>
      </c>
      <c r="G124" s="27" cm="1">
        <f t="array" ref="G124">SUMPRODUCT(
  (--(TRIM(F9:F58)="advanced studies"))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25" spans="2:7">
      <c r="B125" s="20" t="s">
        <v>40</v>
      </c>
      <c r="C125" s="27" cm="1">
        <f t="array" ref="C125">SUMPRODUCT(
  (--(TRIM(F9:F58)="ranking")) *
  (
    (LEN("," &amp; SUBSTITUTE(TRIM(SUBSTITUTE(E9:E58," ","")),",",",") &amp; ",") -
     LEN(SUBSTITUTE("," &amp; SUBSTITUTE(TRIM(SUBSTITUTE(E9:E58," ","")),",",",") &amp; ",", ",4c,", ""))
    ) / LEN(",4c,")
  )
)</f>
        <v>0</v>
      </c>
      <c r="D125" s="20"/>
      <c r="E125" s="20"/>
      <c r="F125" s="20" t="s">
        <v>40</v>
      </c>
      <c r="G125" s="27" cm="1">
        <f t="array" ref="G125">SUMPRODUCT(
  (--(TRIM(F9:F58)="ranking")) *
  (
    (LEN("," &amp; SUBSTITUTE(TRIM(SUBSTITUTE(E9:E58," ","")),",",",") &amp; ",") -
     LEN(SUBSTITUTE("," &amp; SUBSTITUTE(TRIM(SUBSTITUTE(E9:E58," ","")),",",",") &amp; ",", ",6,", ""))
    ) / LEN(",6,")
  )
)</f>
        <v>0</v>
      </c>
    </row>
    <row r="126" spans="2:7">
      <c r="B126" s="20" t="s">
        <v>41</v>
      </c>
      <c r="C126" s="27">
        <f>(C117)- SUM(C118:C125)</f>
        <v>0</v>
      </c>
      <c r="D126" s="20"/>
      <c r="E126" s="20"/>
      <c r="F126" s="20" t="s">
        <v>41</v>
      </c>
      <c r="G126" s="27">
        <f>(G117)- SUM(G118:G125)</f>
        <v>0</v>
      </c>
    </row>
    <row r="127" spans="2:7">
      <c r="B127" s="20"/>
      <c r="C127" s="27"/>
      <c r="D127" s="20"/>
      <c r="E127" s="20"/>
      <c r="F127" s="20"/>
      <c r="G127" s="27"/>
    </row>
    <row r="128" spans="2:7" ht="15">
      <c r="B128" s="28" t="s">
        <v>20</v>
      </c>
      <c r="C128" s="25" cm="1">
        <f t="array" ref="C128">SUMPRODUCT(
  (LEN("," &amp; SUBSTITUTE(TRIM(SUBSTITUTE(E9:E58," ","")),",",",") &amp; ",") -
   LEN(SUBSTITUTE("," &amp; SUBSTITUTE(TRIM(SUBSTITUTE(E9:E58," ","")),",",",") &amp; ",", ",4d,", ""))
  ) / LEN(",4d,")
)</f>
        <v>0</v>
      </c>
      <c r="D128" s="20"/>
      <c r="E128" s="20"/>
      <c r="F128" s="28" t="s">
        <v>15</v>
      </c>
      <c r="G128" s="25" cm="1">
        <f t="array" ref="G128">SUMPRODUCT(
  (LEN("," &amp; SUBSTITUTE(TRIM(SUBSTITUTE(E9:E58," ","")),",",",") &amp; ",") -
   LEN(SUBSTITUTE("," &amp; SUBSTITUTE(TRIM(SUBSTITUTE(E9:E58," ","")),",",",") &amp; ",", ",7,", ""))
  ) / LEN(",7,")
)</f>
        <v>0</v>
      </c>
    </row>
    <row r="129" spans="2:7">
      <c r="B129" s="20" t="s">
        <v>33</v>
      </c>
      <c r="C129" s="27" cm="1">
        <f t="array" ref="C129">SUMPRODUCT(
  (--(TRIM(F9:F58)="evaluation")) *
  (
    (LEN("," &amp; SUBSTITUTE(TRIM(SUBSTITUTE(E9:E58," ","")),",",",") &amp; ",") -
     LEN(SUBSTITUTE("," &amp; SUBSTITUTE(TRIM(SUBSTITUTE(E9:E58," ","")),",",",") &amp; ",", ",4d,", ""))
    ) / LEN(",4d,")
  )
)</f>
        <v>0</v>
      </c>
      <c r="D129" s="20"/>
      <c r="E129" s="20"/>
      <c r="F129" s="20" t="s">
        <v>33</v>
      </c>
      <c r="G129" s="27" cm="1">
        <f t="array" ref="G129">SUMPRODUCT(
  (--(TRIM(F9:F58)="evaluation"))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0" spans="2:7">
      <c r="B130" s="20" t="s">
        <v>34</v>
      </c>
      <c r="C130" s="27" cm="1">
        <f t="array" ref="C130">SUMPRODUCT(
  (--(TRIM(F9:F58)="scholarship")) *
  (
    (LEN("," &amp; SUBSTITUTE(TRIM(SUBSTITUTE(E9:E58," ","")),",",",") &amp; ",") -
     LEN(SUBSTITUTE("," &amp; SUBSTITUTE(TRIM(SUBSTITUTE(E9:E58," ","")),",",",") &amp; ",", ",4d,", ""))
    ) / LEN(",4d,")
  )
)</f>
        <v>0</v>
      </c>
      <c r="D130" s="20"/>
      <c r="E130" s="20"/>
      <c r="F130" s="20" t="s">
        <v>34</v>
      </c>
      <c r="G130" s="27" cm="1">
        <f t="array" ref="G130">SUMPRODUCT(
  (--(TRIM(F9:F58)="scholarship"))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1" spans="2:7">
      <c r="B131" s="20" t="s">
        <v>35</v>
      </c>
      <c r="C131" s="27" cm="1">
        <f t="array" ref="C131">SUMPRODUCT(
  (--(TRIM(F9:F58)="passport")) *
  (
    (LEN("," &amp; SUBSTITUTE(TRIM(SUBSTITUTE(E9:E58," ","")),",",",") &amp; ",") -
     LEN(SUBSTITUTE("," &amp; SUBSTITUTE(TRIM(SUBSTITUTE(E9:E58," ","")),",",",") &amp; ",", ",4d,", ""))
    ) / LEN(",4d,")
  )
)</f>
        <v>0</v>
      </c>
      <c r="D131" s="20"/>
      <c r="E131" s="20"/>
      <c r="F131" s="20" t="s">
        <v>35</v>
      </c>
      <c r="G131" s="27" cm="1">
        <f t="array" ref="G131">SUMPRODUCT(
  (--(TRIM(F9:F58)="passport"))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2" spans="2:7">
      <c r="B132" s="20" t="s">
        <v>36</v>
      </c>
      <c r="C132" s="27" cm="1">
        <f t="array" ref="C132">SUMPRODUCT(
  (--(TRIM(F9:F58)="board exam")) *
  (
    (LEN("," &amp; SUBSTITUTE(TRIM(SUBSTITUTE(E9:E58," ","")),",",",") &amp; ",") -
     LEN(SUBSTITUTE("," &amp; SUBSTITUTE(TRIM(SUBSTITUTE(E9:E58," ","")),",",",") &amp; ",", ",4d,", ""))
    ) / LEN(",4d,")
  )
)</f>
        <v>0</v>
      </c>
      <c r="D132" s="20"/>
      <c r="E132" s="20"/>
      <c r="F132" s="20" t="s">
        <v>36</v>
      </c>
      <c r="G132" s="27" cm="1">
        <f t="array" ref="G132">SUMPRODUCT(
  (--(TRIM(F9:F58)="board exam"))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3" spans="2:7">
      <c r="B133" s="20" t="s">
        <v>37</v>
      </c>
      <c r="C133" s="27" cm="1">
        <f t="array" ref="C133">SUMPRODUCT(
  (--(TRIM(F9:F58)="employment")) *
  (
    (LEN("," &amp; SUBSTITUTE(TRIM(SUBSTITUTE(E9:E58," ","")),",",",") &amp; ",") -
     LEN(SUBSTITUTE("," &amp; SUBSTITUTE(TRIM(SUBSTITUTE(E9:E58," ","")),",",",") &amp; ",", ",4d,", ""))
    ) / LEN(",4d,")
  )
)</f>
        <v>0</v>
      </c>
      <c r="D133" s="20"/>
      <c r="E133" s="20"/>
      <c r="F133" s="20" t="s">
        <v>37</v>
      </c>
      <c r="G133" s="27" cm="1">
        <f t="array" ref="G133">SUMPRODUCT(
  (--(TRIM(F9:F58)="employment"))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4" spans="2:7">
      <c r="B134" s="20" t="s">
        <v>38</v>
      </c>
      <c r="C134" s="27" cm="1">
        <f t="array" ref="C134">SUMPRODUCT(
  (--(TRIM(F9:F58)="personal file")) *
  (
    (LEN("," &amp; SUBSTITUTE(TRIM(SUBSTITUTE(E9:E58," ","")),",",",") &amp; ",") -
     LEN(SUBSTITUTE("," &amp; SUBSTITUTE(TRIM(SUBSTITUTE(E9:E58," ","")),",",",") &amp; ",", ",4d,", ""))
    ) / LEN(",4d,")
  )
)</f>
        <v>0</v>
      </c>
      <c r="D134" s="20"/>
      <c r="E134" s="20"/>
      <c r="F134" s="20" t="s">
        <v>38</v>
      </c>
      <c r="G134" s="27" cm="1">
        <f t="array" ref="G134">SUMPRODUCT(
  (--(TRIM(F9:F58)="personal file"))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5" spans="2:7">
      <c r="B135" s="20" t="s">
        <v>39</v>
      </c>
      <c r="C135" s="27" cm="1">
        <f t="array" ref="C135">SUMPRODUCT(
  (--(TRIM(F9:F58)="advanced studies")) *
  (
    (LEN("," &amp; SUBSTITUTE(TRIM(SUBSTITUTE(E9:E58," ","")),",",",") &amp; ",") -
     LEN(SUBSTITUTE("," &amp; SUBSTITUTE(TRIM(SUBSTITUTE(E9:E58," ","")),",",",") &amp; ",", ",4d,", ""))
    ) / LEN(",4d,")
  )
)</f>
        <v>0</v>
      </c>
      <c r="D135" s="20"/>
      <c r="E135" s="20"/>
      <c r="F135" s="20" t="s">
        <v>39</v>
      </c>
      <c r="G135" s="27" cm="1">
        <f t="array" ref="G135">SUMPRODUCT(
  (--(TRIM(F9:F58)="advanced studies"))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6" spans="2:7">
      <c r="B136" s="20" t="s">
        <v>40</v>
      </c>
      <c r="C136" s="27" cm="1">
        <f t="array" ref="C136">SUMPRODUCT(
  (--(TRIM(F9:F58)="ranking")) *
  (
    (LEN("," &amp; SUBSTITUTE(TRIM(SUBSTITUTE(E9:E58," ","")),",",",") &amp; ",") -
     LEN(SUBSTITUTE("," &amp; SUBSTITUTE(TRIM(SUBSTITUTE(E9:E58," ","")),",",",") &amp; ",", ",4d,", ""))
    ) / LEN(",4d,")
  )
)</f>
        <v>0</v>
      </c>
      <c r="D136" s="20"/>
      <c r="E136" s="20"/>
      <c r="F136" s="20" t="s">
        <v>40</v>
      </c>
      <c r="G136" s="27" cm="1">
        <f t="array" ref="G136">SUMPRODUCT(
  (--(TRIM(F9:F58)="ranking")) *
  (
    (LEN("," &amp; SUBSTITUTE(TRIM(SUBSTITUTE(E9:E58," ","")),",",",") &amp; ",") -
     LEN(SUBSTITUTE("," &amp; SUBSTITUTE(TRIM(SUBSTITUTE(E9:E58," ","")),",",",") &amp; ",", ",7,", ""))
    ) / LEN(",7,")
  )
)</f>
        <v>0</v>
      </c>
    </row>
    <row r="137" spans="2:7">
      <c r="B137" s="20" t="s">
        <v>41</v>
      </c>
      <c r="C137" s="27">
        <f>(C128)- SUM(C129:C136)</f>
        <v>0</v>
      </c>
      <c r="D137" s="20"/>
      <c r="E137" s="20"/>
      <c r="F137" s="20" t="s">
        <v>41</v>
      </c>
      <c r="G137" s="27">
        <f>(G128)- SUM(G129:G136)</f>
        <v>0</v>
      </c>
    </row>
    <row r="138" spans="2:7">
      <c r="B138" s="16"/>
      <c r="C138" s="27"/>
      <c r="D138" s="20"/>
      <c r="E138" s="20"/>
      <c r="F138" s="20"/>
      <c r="G138" s="27"/>
    </row>
    <row r="139" spans="2:7" ht="15">
      <c r="B139" s="26" t="s">
        <v>44</v>
      </c>
      <c r="C139" s="25" cm="1">
        <f t="array" ref="C139">SUMPRODUCT(
  (LEN("," &amp; SUBSTITUTE(TRIM(SUBSTITUTE(E9:E58," ","")),",",",") &amp; ",") -
   LEN(SUBSTITUTE("," &amp; SUBSTITUTE(TRIM(SUBSTITUTE(E9:E58," ","")),",",",") &amp; ",", ",4e,", ""))
  ) / LEN(",4e,")
)</f>
        <v>0</v>
      </c>
      <c r="D139" s="20"/>
      <c r="E139" s="20"/>
      <c r="F139" s="28" t="s">
        <v>6</v>
      </c>
      <c r="G139" s="33" cm="1">
        <f t="array" ref="G139">SUMPRODUCT(
  (LEN("," &amp; SUBSTITUTE(TRIM(SUBSTITUTE(E9:E58," ","")),",",",") &amp; ",") -
   LEN(SUBSTITUTE("," &amp; SUBSTITUTE(TRIM(SUBSTITUTE(E9:E58," ","")),",",",") &amp; ",", ",8,", ""))
  ) / LEN(",8,")
)</f>
        <v>0</v>
      </c>
    </row>
    <row r="140" spans="2:7">
      <c r="B140" s="20" t="s">
        <v>33</v>
      </c>
      <c r="C140" s="27" cm="1">
        <f t="array" ref="C140">SUMPRODUCT(
  (--(TRIM(F9:F58)="evaluation")) *
  (
    (LEN("," &amp; SUBSTITUTE(TRIM(SUBSTITUTE(E9:E58," ","")),",",",") &amp; ",") -
     LEN(SUBSTITUTE("," &amp; SUBSTITUTE(TRIM(SUBSTITUTE(E9:E58," ","")),",",",") &amp; ",", ",4e,", ""))
    ) / LEN(",4e,")
  )
)</f>
        <v>0</v>
      </c>
      <c r="D140" s="20"/>
      <c r="E140" s="20"/>
      <c r="F140" s="20" t="s">
        <v>33</v>
      </c>
      <c r="G140" s="27" cm="1">
        <f t="array" ref="G140">SUMPRODUCT(
  (--(TRIM(F9:F58)="evaluation"))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1" spans="2:7">
      <c r="B141" s="20" t="s">
        <v>34</v>
      </c>
      <c r="C141" s="27" cm="1">
        <f t="array" ref="C141">SUMPRODUCT(
  (--(TRIM(F9:F58)="scholarship")) *
  (
    (LEN("," &amp; SUBSTITUTE(TRIM(SUBSTITUTE(E9:E58," ","")),",",",") &amp; ",") -
     LEN(SUBSTITUTE("," &amp; SUBSTITUTE(TRIM(SUBSTITUTE(E9:E58," ","")),",",",") &amp; ",", ",4e,", ""))
    ) / LEN(",4e,")
  )
)</f>
        <v>0</v>
      </c>
      <c r="D141" s="20"/>
      <c r="E141" s="20"/>
      <c r="F141" s="20" t="s">
        <v>34</v>
      </c>
      <c r="G141" s="27" cm="1">
        <f t="array" ref="G141">SUMPRODUCT(
  (--(TRIM(F9:F58)="scholarship"))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2" spans="2:7">
      <c r="B142" s="20" t="s">
        <v>35</v>
      </c>
      <c r="C142" s="27" cm="1">
        <f t="array" ref="C142">SUMPRODUCT(
  (--(TRIM(F9:F58)="passport")) *
  (
    (LEN("," &amp; SUBSTITUTE(TRIM(SUBSTITUTE(E9:E58," ","")),",",",") &amp; ",") -
     LEN(SUBSTITUTE("," &amp; SUBSTITUTE(TRIM(SUBSTITUTE(E9:E58," ","")),",",",") &amp; ",", ",4e,", ""))
    ) / LEN(",4e,")
  )
)</f>
        <v>0</v>
      </c>
      <c r="D142" s="20"/>
      <c r="E142" s="20"/>
      <c r="F142" s="20" t="s">
        <v>35</v>
      </c>
      <c r="G142" s="27" cm="1">
        <f t="array" ref="G142">SUMPRODUCT(
  (--(TRIM(F9:F58)="passport"))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3" spans="2:7">
      <c r="B143" s="20" t="s">
        <v>36</v>
      </c>
      <c r="C143" s="27" cm="1">
        <f t="array" ref="C143">SUMPRODUCT(
  (--(TRIM(F9:F58)="board exam")) *
  (
    (LEN("," &amp; SUBSTITUTE(TRIM(SUBSTITUTE(E9:E58," ","")),",",",") &amp; ",") -
     LEN(SUBSTITUTE("," &amp; SUBSTITUTE(TRIM(SUBSTITUTE(E9:E58," ","")),",",",") &amp; ",", ",4e,", ""))
    ) / LEN(",4e,")
  )
)</f>
        <v>0</v>
      </c>
      <c r="D143" s="20"/>
      <c r="E143" s="20"/>
      <c r="F143" s="20" t="s">
        <v>36</v>
      </c>
      <c r="G143" s="27" cm="1">
        <f t="array" ref="G143">SUMPRODUCT(
  (--(TRIM(F9:F58)="bboard exam"))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4" spans="2:7">
      <c r="B144" s="20" t="s">
        <v>37</v>
      </c>
      <c r="C144" s="27" cm="1">
        <f t="array" ref="C144">SUMPRODUCT(
  (--(TRIM(F9:F58)="employment")) *
  (
    (LEN("," &amp; SUBSTITUTE(TRIM(SUBSTITUTE(E9:E58," ","")),",",",") &amp; ",") -
     LEN(SUBSTITUTE("," &amp; SUBSTITUTE(TRIM(SUBSTITUTE(E9:E58," ","")),",",",") &amp; ",", ",4e,", ""))
    ) / LEN(",4e,")
  )
)</f>
        <v>0</v>
      </c>
      <c r="D144" s="20"/>
      <c r="E144" s="20"/>
      <c r="F144" s="20" t="s">
        <v>37</v>
      </c>
      <c r="G144" s="27" cm="1">
        <f t="array" ref="G144">SUMPRODUCT(
  (--(TRIM(F9:F58)="employment"))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5" spans="2:7">
      <c r="B145" s="20" t="s">
        <v>38</v>
      </c>
      <c r="C145" s="27" cm="1">
        <f t="array" ref="C145">SUMPRODUCT(
  (--(TRIM(F9:F58)="personal file")) *
  (
    (LEN("," &amp; SUBSTITUTE(TRIM(SUBSTITUTE(E9:E58," ","")),",",",") &amp; ",") -
     LEN(SUBSTITUTE("," &amp; SUBSTITUTE(TRIM(SUBSTITUTE(E9:E58," ","")),",",",") &amp; ",", ",4e,", ""))
    ) / LEN(",4e,")
  )
)</f>
        <v>0</v>
      </c>
      <c r="D145" s="20"/>
      <c r="E145" s="20"/>
      <c r="F145" s="20" t="s">
        <v>38</v>
      </c>
      <c r="G145" s="27" cm="1">
        <f t="array" ref="G145">SUMPRODUCT(
  (--(TRIM(F9:F58)="personal file"))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6" spans="2:7">
      <c r="B146" s="20" t="s">
        <v>39</v>
      </c>
      <c r="C146" s="27" cm="1">
        <f t="array" ref="C146">SUMPRODUCT(
  (--(TRIM(F9:F58)="advanced studies")) *
  (
    (LEN("," &amp; SUBSTITUTE(TRIM(SUBSTITUTE(E9:E58," ","")),",",",") &amp; ",") -
     LEN(SUBSTITUTE("," &amp; SUBSTITUTE(TRIM(SUBSTITUTE(E9:E58," ","")),",",",") &amp; ",", ",4e,", ""))
    ) / LEN(",4e,")
  )
)</f>
        <v>0</v>
      </c>
      <c r="D146" s="20"/>
      <c r="E146" s="20"/>
      <c r="F146" s="20" t="s">
        <v>39</v>
      </c>
      <c r="G146" s="27" cm="1">
        <f t="array" ref="G146">SUMPRODUCT(
  (--(TRIM(F9:F58)="advanced studies"))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7" spans="2:7">
      <c r="B147" s="20" t="s">
        <v>40</v>
      </c>
      <c r="C147" s="27" cm="1">
        <f t="array" ref="C147">SUMPRODUCT(
  (--(TRIM(F9:F58)="ranking")) *
  (
    (LEN("," &amp; SUBSTITUTE(TRIM(SUBSTITUTE(E9:E58," ","")),",",",") &amp; ",") -
     LEN(SUBSTITUTE("," &amp; SUBSTITUTE(TRIM(SUBSTITUTE(E9:E58," ","")),",",",") &amp; ",", ",4e,", ""))
    ) / LEN(",4e,")
  )
)</f>
        <v>0</v>
      </c>
      <c r="D147" s="20"/>
      <c r="E147" s="20"/>
      <c r="F147" s="20" t="s">
        <v>40</v>
      </c>
      <c r="G147" s="27" cm="1">
        <f t="array" ref="G147">SUMPRODUCT(
  (--(TRIM(F9:F58)="ranking")) *
  (
    (LEN("," &amp; SUBSTITUTE(TRIM(SUBSTITUTE(E9:E58," ","")),",",",") &amp; ",") -
     LEN(SUBSTITUTE("," &amp; SUBSTITUTE(TRIM(SUBSTITUTE(E9:E58," ","")),",",",") &amp; ",", ",8,", ""))
    ) / LEN(",8,")
  )
)</f>
        <v>0</v>
      </c>
    </row>
    <row r="148" spans="2:7">
      <c r="B148" s="20" t="s">
        <v>41</v>
      </c>
      <c r="C148" s="27">
        <f>(C139)- SUM(C140:C147)</f>
        <v>0</v>
      </c>
      <c r="D148" s="20"/>
      <c r="E148" s="20"/>
      <c r="F148" s="20" t="s">
        <v>41</v>
      </c>
      <c r="G148" s="27">
        <f>(G139)- SUM(G140:G147)</f>
        <v>0</v>
      </c>
    </row>
    <row r="149" spans="2:7">
      <c r="B149" s="16"/>
      <c r="C149" s="27"/>
      <c r="D149" s="20"/>
      <c r="E149" s="20"/>
      <c r="F149" s="20"/>
      <c r="G149" s="27"/>
    </row>
    <row r="150" spans="2:7" ht="15">
      <c r="B150" s="26" t="s">
        <v>13</v>
      </c>
      <c r="C150" s="25" cm="1">
        <f t="array" ref="C150">SUMPRODUCT(
  (LEN("," &amp; SUBSTITUTE(TRIM(SUBSTITUTE(E9:E58," ","")),",",",") &amp; ",") -
   LEN(SUBSTITUTE("," &amp; SUBSTITUTE(TRIM(SUBSTITUTE(E9:E58," ","")),",",",") &amp; ",", ",4f,", ""))
  ) / LEN(",4f,")
)</f>
        <v>0</v>
      </c>
      <c r="D150" s="20"/>
      <c r="E150" s="20"/>
      <c r="F150" s="28" t="s">
        <v>45</v>
      </c>
      <c r="G150" s="33" cm="1">
        <f t="array" ref="G150">SUMPRODUCT(
  (LEN("," &amp; SUBSTITUTE(TRIM(SUBSTITUTE(E9:E58," ","")),",",",") &amp; ",") -
   LEN(SUBSTITUTE("," &amp; SUBSTITUTE(TRIM(SUBSTITUTE(E9:E58," ","")),",",",") &amp; ",", ",9,", ""))
  ) / LEN(",9,")
)</f>
        <v>0</v>
      </c>
    </row>
    <row r="151" spans="2:7">
      <c r="B151" s="20" t="s">
        <v>33</v>
      </c>
      <c r="C151" s="27" cm="1">
        <f t="array" ref="C151">SUMPRODUCT(
  (--(TRIM(F9:F58)="evaluation")) *
  (
    (LEN("," &amp; SUBSTITUTE(TRIM(SUBSTITUTE(E9:E58," ","")),",",",") &amp; ",") -
     LEN(SUBSTITUTE("," &amp; SUBSTITUTE(TRIM(SUBSTITUTE(E9:E58," ","")),",",",") &amp; ",", ",4f,", ""))
    ) / LEN(",4f,")
  )
)</f>
        <v>0</v>
      </c>
      <c r="D151" s="20"/>
      <c r="E151" s="20"/>
      <c r="F151" s="20" t="s">
        <v>33</v>
      </c>
      <c r="G151" s="27" cm="1">
        <f t="array" ref="G151">SUMPRODUCT(
  (--(TRIM(F9:F58)="evaluation"))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2" spans="2:7">
      <c r="B152" s="20" t="s">
        <v>34</v>
      </c>
      <c r="C152" s="27" cm="1">
        <f t="array" ref="C152">SUMPRODUCT(
  (--(TRIM(F9:F58)="scholarship")) *
  (
    (LEN("," &amp; SUBSTITUTE(TRIM(SUBSTITUTE(E9:E58," ","")),",",",") &amp; ",") -
     LEN(SUBSTITUTE("," &amp; SUBSTITUTE(TRIM(SUBSTITUTE(E9:E58," ","")),",",",") &amp; ",", ",4f,", ""))
    ) / LEN(",4f,")
  )
)</f>
        <v>0</v>
      </c>
      <c r="D152" s="20"/>
      <c r="E152" s="20"/>
      <c r="F152" s="20" t="s">
        <v>34</v>
      </c>
      <c r="G152" s="27" cm="1">
        <f t="array" ref="G152">SUMPRODUCT(
  (--(TRIM(F9:F58)="scholarship"))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3" spans="2:7">
      <c r="B153" s="20" t="s">
        <v>35</v>
      </c>
      <c r="C153" s="27" cm="1">
        <f t="array" ref="C153">SUMPRODUCT(
  (--(TRIM(F9:F58)="passport")) *
  (
    (LEN("," &amp; SUBSTITUTE(TRIM(SUBSTITUTE(E9:E58," ","")),",",",") &amp; ",") -
     LEN(SUBSTITUTE("," &amp; SUBSTITUTE(TRIM(SUBSTITUTE(E9:E58," ","")),",",",") &amp; ",", ",4f,", ""))
    ) / LEN(",4f,")
  )
)</f>
        <v>0</v>
      </c>
      <c r="D153" s="20"/>
      <c r="E153" s="20"/>
      <c r="F153" s="20" t="s">
        <v>35</v>
      </c>
      <c r="G153" s="27" cm="1">
        <f t="array" ref="G153">SUMPRODUCT(
  (--(TRIM(F9:F58)="passport"))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4" spans="2:7">
      <c r="B154" s="20" t="s">
        <v>36</v>
      </c>
      <c r="C154" s="27" cm="1">
        <f t="array" ref="C154">SUMPRODUCT(
  (--(TRIM(F9:F58)="board exam")) *
  (
    (LEN("," &amp; SUBSTITUTE(TRIM(SUBSTITUTE(E9:E58," ","")),",",",") &amp; ",") -
     LEN(SUBSTITUTE("," &amp; SUBSTITUTE(TRIM(SUBSTITUTE(E9:E58," ","")),",",",") &amp; ",", ",4f,", ""))
    ) / LEN(",4f,")
  )
)</f>
        <v>0</v>
      </c>
      <c r="D154" s="20"/>
      <c r="E154" s="20"/>
      <c r="F154" s="20" t="s">
        <v>36</v>
      </c>
      <c r="G154" s="27" cm="1">
        <f t="array" ref="G154">SUMPRODUCT(
  (--(TRIM(F9:F58)="board exam"))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5" spans="2:7">
      <c r="B155" s="20" t="s">
        <v>37</v>
      </c>
      <c r="C155" s="27" cm="1">
        <f t="array" ref="C155">SUMPRODUCT(
  (--(TRIM(F9:F58)="employment")) *
  (
    (LEN("," &amp; SUBSTITUTE(TRIM(SUBSTITUTE(E9:E58," ","")),",",",") &amp; ",") -
     LEN(SUBSTITUTE("," &amp; SUBSTITUTE(TRIM(SUBSTITUTE(E9:E58," ","")),",",",") &amp; ",", ",4f,", ""))
    ) / LEN(",4f,")
  )
)</f>
        <v>0</v>
      </c>
      <c r="D155" s="20"/>
      <c r="E155" s="20"/>
      <c r="F155" s="20" t="s">
        <v>37</v>
      </c>
      <c r="G155" s="27" cm="1">
        <f t="array" ref="G155">SUMPRODUCT(
  (--(TRIM(F9:F58)="employment"))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6" spans="2:7">
      <c r="B156" s="20" t="s">
        <v>38</v>
      </c>
      <c r="C156" s="27" cm="1">
        <f t="array" ref="C156">SUMPRODUCT(
  (--(TRIM(F9:F58)="personal file")) *
  (
    (LEN("," &amp; SUBSTITUTE(TRIM(SUBSTITUTE(E9:E58," ","")),",",",") &amp; ",") -
     LEN(SUBSTITUTE("," &amp; SUBSTITUTE(TRIM(SUBSTITUTE(E9:E58," ","")),",",",") &amp; ",", ",4f,", ""))
    ) / LEN(",4f,")
  )
)</f>
        <v>0</v>
      </c>
      <c r="D156" s="20"/>
      <c r="E156" s="20"/>
      <c r="F156" s="20" t="s">
        <v>38</v>
      </c>
      <c r="G156" s="27" cm="1">
        <f t="array" ref="G156">SUMPRODUCT(
  (--(TRIM(F9:F58)="personal file"))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7" spans="2:7">
      <c r="B157" s="20" t="s">
        <v>39</v>
      </c>
      <c r="C157" s="27" cm="1">
        <f t="array" ref="C157">SUMPRODUCT(
  (--(TRIM(F9:F58)="advanced studies")) *
  (
    (LEN("," &amp; SUBSTITUTE(TRIM(SUBSTITUTE(E9:E58," ","")),",",",") &amp; ",") -
     LEN(SUBSTITUTE("," &amp; SUBSTITUTE(TRIM(SUBSTITUTE(E9:E58," ","")),",",",") &amp; ",", ",4f,", ""))
    ) / LEN(",4f,")
  )
)</f>
        <v>0</v>
      </c>
      <c r="D157" s="20"/>
      <c r="E157" s="20"/>
      <c r="F157" s="20" t="s">
        <v>39</v>
      </c>
      <c r="G157" s="27" cm="1">
        <f t="array" ref="G157">SUMPRODUCT(
  (--(TRIM(F9:F58)="advanced studies"))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8" spans="2:7">
      <c r="B158" s="20" t="s">
        <v>40</v>
      </c>
      <c r="C158" s="27" cm="1">
        <f t="array" ref="C158">SUMPRODUCT(
  (--(TRIM(F9:F58)="ranking")) *
  (
    (LEN("," &amp; SUBSTITUTE(TRIM(SUBSTITUTE(E9:E58," ","")),",",",") &amp; ",") -
     LEN(SUBSTITUTE("," &amp; SUBSTITUTE(TRIM(SUBSTITUTE(E9:E58," ","")),",",",") &amp; ",", ",4f,", ""))
    ) / LEN(",4f,")
  )
)</f>
        <v>0</v>
      </c>
      <c r="D158" s="20"/>
      <c r="E158" s="20"/>
      <c r="F158" s="20" t="s">
        <v>40</v>
      </c>
      <c r="G158" s="27" cm="1">
        <f t="array" ref="G158">SUMPRODUCT(
  (--(TRIM(F9:F58)="ranking")) *
  (
    (LEN("," &amp; SUBSTITUTE(TRIM(SUBSTITUTE(E9:E58," ","")),",",",") &amp; ",") -
     LEN(SUBSTITUTE("," &amp; SUBSTITUTE(TRIM(SUBSTITUTE(E9:E58," ","")),",",",") &amp; ",", ",9,", ""))
    ) / LEN(",9,")
  )
)</f>
        <v>0</v>
      </c>
    </row>
    <row r="159" spans="2:7">
      <c r="B159" s="20" t="s">
        <v>41</v>
      </c>
      <c r="C159" s="27">
        <f>(C150)- SUM(C151:C158)</f>
        <v>0</v>
      </c>
      <c r="D159" s="20"/>
      <c r="E159" s="20"/>
      <c r="F159" s="20" t="s">
        <v>41</v>
      </c>
      <c r="G159" s="27">
        <f>(G150)- SUM(G151:G158)</f>
        <v>0</v>
      </c>
    </row>
    <row r="160" spans="2:7">
      <c r="B160" s="16"/>
      <c r="C160" s="27"/>
      <c r="D160" s="20"/>
      <c r="E160" s="20"/>
      <c r="F160" s="20"/>
      <c r="G160" s="27"/>
    </row>
    <row r="161" spans="2:7" ht="15">
      <c r="B161" s="26" t="s">
        <v>46</v>
      </c>
      <c r="C161" s="25" cm="1">
        <f t="array" ref="C161">SUMPRODUCT(
  (LEN("," &amp; SUBSTITUTE(TRIM(SUBSTITUTE(E9:E58," ","")),",",",") &amp; ",") -
   LEN(SUBSTITUTE("," &amp; SUBSTITUTE(TRIM(SUBSTITUTE(E9:E58," ","")),",",",") &amp; ",", ",4g,", ""))
  ) / LEN(",4g,")
)</f>
        <v>1</v>
      </c>
      <c r="D161" s="20"/>
      <c r="E161" s="20"/>
      <c r="F161" s="28" t="s">
        <v>16</v>
      </c>
      <c r="G161" s="33" cm="1">
        <f t="array" ref="G161">SUMPRODUCT(
  (LEN("," &amp; SUBSTITUTE(TRIM(SUBSTITUTE(E9:E58," ","")),",",",") &amp; ",") -
   LEN(SUBSTITUTE("," &amp; SUBSTITUTE(TRIM(SUBSTITUTE(E9:E58," ","")),",",",") &amp; ",", ",10,", ""))
  ) / LEN(",10,")
)</f>
        <v>0</v>
      </c>
    </row>
    <row r="162" spans="2:7">
      <c r="B162" s="20" t="s">
        <v>33</v>
      </c>
      <c r="C162" s="27" cm="1">
        <f t="array" ref="C162">SUMPRODUCT(
  (--(TRIM(F9:F58)="evaluation")) *
  (
    (LEN("," &amp; SUBSTITUTE(TRIM(SUBSTITUTE(E9:E58," ","")),",",",") &amp; ",") -
     LEN(SUBSTITUTE("," &amp; SUBSTITUTE(TRIM(SUBSTITUTE(E9:E58," ","")),",",",") &amp; ",", ",4g,", ""))
    ) / LEN(",4g,")
  )
)</f>
        <v>0</v>
      </c>
      <c r="D162" s="20"/>
      <c r="E162" s="20"/>
      <c r="F162" s="20" t="s">
        <v>33</v>
      </c>
      <c r="G162" s="27" cm="1">
        <f t="array" ref="G162">SUMPRODUCT(
  (--(TRIM(F9:F58)="evaluation"))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63" spans="2:7">
      <c r="B163" s="20" t="s">
        <v>34</v>
      </c>
      <c r="C163" s="27" cm="1">
        <f t="array" ref="C163">SUMPRODUCT(
  (--(TRIM(F9:F58)="scholarship")) *
  (
    (LEN("," &amp; SUBSTITUTE(TRIM(SUBSTITUTE(E9:E58," ","")),",",",") &amp; ",") -
     LEN(SUBSTITUTE("," &amp; SUBSTITUTE(TRIM(SUBSTITUTE(E9:E58," ","")),",",",") &amp; ",", ",4g,", ""))
    ) / LEN(",4g,")
  )
)</f>
        <v>1</v>
      </c>
      <c r="D163" s="20"/>
      <c r="E163" s="20"/>
      <c r="F163" s="20" t="s">
        <v>34</v>
      </c>
      <c r="G163" s="27" cm="1">
        <f t="array" ref="G163">SUMPRODUCT(
  (--(TRIM(F9:F58)="scholarship"))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64" spans="2:7">
      <c r="B164" s="20" t="s">
        <v>35</v>
      </c>
      <c r="C164" s="27" cm="1">
        <f t="array" ref="C164">SUMPRODUCT(
  (--(TRIM(F9:F58)="passport")) *
  (
    (LEN("," &amp; SUBSTITUTE(TRIM(SUBSTITUTE(E9:E58," ","")),",",",") &amp; ",") -
     LEN(SUBSTITUTE("," &amp; SUBSTITUTE(TRIM(SUBSTITUTE(E9:E58," ","")),",",",") &amp; ",", ",4g,", ""))
    ) / LEN(",4g,")
  )
)</f>
        <v>0</v>
      </c>
      <c r="D164" s="20"/>
      <c r="E164" s="20"/>
      <c r="F164" s="20" t="s">
        <v>35</v>
      </c>
      <c r="G164" s="27" cm="1">
        <f t="array" ref="G164">SUMPRODUCT(
  (--(TRIM(F9:F58)="passport"))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65" spans="2:7">
      <c r="B165" s="20" t="s">
        <v>36</v>
      </c>
      <c r="C165" s="27" cm="1">
        <f t="array" ref="C165">SUMPRODUCT(
  (--(TRIM(F9:F58)="board exam")) *
  (
    (LEN("," &amp; SUBSTITUTE(TRIM(SUBSTITUTE(E9:E58," ","")),",",",") &amp; ",") -
     LEN(SUBSTITUTE("," &amp; SUBSTITUTE(TRIM(SUBSTITUTE(E9:E58," ","")),",",",") &amp; ",", ",4g,", ""))
    ) / LEN(",4g,")
  )
)</f>
        <v>0</v>
      </c>
      <c r="D165" s="20"/>
      <c r="E165" s="20"/>
      <c r="F165" s="20" t="s">
        <v>36</v>
      </c>
      <c r="G165" s="27" cm="1">
        <f t="array" ref="G165">SUMPRODUCT(
  (--(TRIM(F9:F58)="board exam"))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66" spans="2:7">
      <c r="B166" s="20" t="s">
        <v>37</v>
      </c>
      <c r="C166" s="27" cm="1">
        <f t="array" ref="C166">SUMPRODUCT(
  (--(TRIM(F9:F58)="employment")) *
  (
    (LEN("," &amp; SUBSTITUTE(TRIM(SUBSTITUTE(E9:E58," ","")),",",",") &amp; ",") -
     LEN(SUBSTITUTE("," &amp; SUBSTITUTE(TRIM(SUBSTITUTE(E9:E58," ","")),",",",") &amp; ",", ",4g,", ""))
    ) / LEN(",4g,")
  )
)</f>
        <v>0</v>
      </c>
      <c r="D166" s="20"/>
      <c r="E166" s="20"/>
      <c r="F166" s="20" t="s">
        <v>37</v>
      </c>
      <c r="G166" s="27" cm="1">
        <f t="array" ref="G166">SUMPRODUCT(
  (--(TRIM(F9:F58)="employment"))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67" spans="2:7">
      <c r="B167" s="20" t="s">
        <v>38</v>
      </c>
      <c r="C167" s="27" cm="1">
        <f t="array" ref="C167">SUMPRODUCT(
  (--(TRIM(F9:F58)="personal file")) *
  (
    (LEN("," &amp; SUBSTITUTE(TRIM(SUBSTITUTE(E9:E58," ","")),",",",") &amp; ",") -
     LEN(SUBSTITUTE("," &amp; SUBSTITUTE(TRIM(SUBSTITUTE(E9:E58," ","")),",",",") &amp; ",", ",4g,", ""))
    ) / LEN(",4g,")
  )
)</f>
        <v>0</v>
      </c>
      <c r="D167" s="20"/>
      <c r="E167" s="20"/>
      <c r="F167" s="20" t="s">
        <v>38</v>
      </c>
      <c r="G167" s="27" cm="1">
        <f t="array" ref="G167">SUMPRODUCT(
  (--(TRIM(F9:F58)="personal file"))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68" spans="2:7">
      <c r="B168" s="20" t="s">
        <v>39</v>
      </c>
      <c r="C168" s="27" cm="1">
        <f t="array" ref="C168">SUMPRODUCT(
  (--(TRIM(F9:F58)="advanced studies")) *
  (
    (LEN("," &amp; SUBSTITUTE(TRIM(SUBSTITUTE(E9:E58," ","")),",",",") &amp; ",") -
     LEN(SUBSTITUTE("," &amp; SUBSTITUTE(TRIM(SUBSTITUTE(E9:E58," ","")),",",",") &amp; ",", ",4g,", ""))
    ) / LEN(",4g,")
  )
)</f>
        <v>0</v>
      </c>
      <c r="D168" s="20"/>
      <c r="E168" s="20"/>
      <c r="F168" s="20" t="s">
        <v>39</v>
      </c>
      <c r="G168" s="27" cm="1">
        <f t="array" ref="G168">SUMPRODUCT(
  (--(TRIM(F9:F58)="advanced studies"))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69" spans="2:7">
      <c r="B169" s="20" t="s">
        <v>40</v>
      </c>
      <c r="C169" s="27" cm="1">
        <f t="array" ref="C169">SUMPRODUCT(
  (--(TRIM(F9:F58)="ranking")) *
  (
    (LEN("," &amp; SUBSTITUTE(TRIM(SUBSTITUTE(E9:E58," ","")),",",",") &amp; ",") -
     LEN(SUBSTITUTE("," &amp; SUBSTITUTE(TRIM(SUBSTITUTE(E9:E58," ","")),",",",") &amp; ",", ",4g,", ""))
    ) / LEN(",4g,")
  )
)</f>
        <v>0</v>
      </c>
      <c r="D169" s="20"/>
      <c r="E169" s="20"/>
      <c r="F169" s="20" t="s">
        <v>40</v>
      </c>
      <c r="G169" s="27" cm="1">
        <f t="array" ref="G169">SUMPRODUCT(
  (--(TRIM(F9:F58)="ranking")) *
  (
    (LEN("," &amp; SUBSTITUTE(TRIM(SUBSTITUTE(E9:E58," ","")),",",",") &amp; ",") -
     LEN(SUBSTITUTE("," &amp; SUBSTITUTE(TRIM(SUBSTITUTE(E9:E58," ","")),",",",") &amp; ",", ",10,", ""))
    ) / LEN(",10,")
  )
)</f>
        <v>0</v>
      </c>
    </row>
    <row r="170" spans="2:7">
      <c r="B170" s="20" t="s">
        <v>41</v>
      </c>
      <c r="C170" s="27">
        <f>(C161)- SUM(C162:C169)</f>
        <v>0</v>
      </c>
      <c r="D170" s="20"/>
      <c r="E170" s="20"/>
      <c r="F170" s="20" t="s">
        <v>41</v>
      </c>
      <c r="G170" s="27">
        <f>(G161)- SUM(G162:G169)</f>
        <v>0</v>
      </c>
    </row>
    <row r="171" spans="2:7">
      <c r="B171" s="20"/>
      <c r="C171" s="27"/>
      <c r="D171" s="20"/>
      <c r="E171" s="20"/>
      <c r="F171" s="20"/>
      <c r="G171" s="20"/>
    </row>
    <row r="172" spans="2:7" ht="15">
      <c r="B172" s="28" t="s">
        <v>47</v>
      </c>
      <c r="C172" s="25" cm="1">
        <f t="array" ref="C172">SUMPRODUCT(
  (LEN("," &amp; SUBSTITUTE(TRIM(SUBSTITUTE(E9:E58," ","")),",",",") &amp; ",") -
   LEN(SUBSTITUTE("," &amp; SUBSTITUTE(TRIM(SUBSTITUTE(E9:E58," ","")),",",",") &amp; ",", ",4h,", ""))
  ) / LEN(",4h,")
)</f>
        <v>0</v>
      </c>
      <c r="D172" s="20"/>
      <c r="E172" s="20"/>
      <c r="F172" s="28" t="s">
        <v>48</v>
      </c>
      <c r="G172" s="34">
        <f>SUM($C$62,$G$62,$C$73,$G$73,$C$84,$G$84,$C$95,$G$95,$C$106,$G$106,$C$117,$G$117,$C$128,$G$128,$C$139,$G$139,$C$150,$G$150,$C$161,$G$161,$C$172)</f>
        <v>29</v>
      </c>
    </row>
    <row r="173" spans="2:7">
      <c r="B173" s="20" t="s">
        <v>33</v>
      </c>
      <c r="C173" s="27" cm="1">
        <f t="array" ref="C173">SUMPRODUCT(
  (--(TRIM(F9:F58)="evaluation")) *
  (
    (LEN("," &amp; SUBSTITUTE(TRIM(SUBSTITUTE(E9:E58," ","")),",",",") &amp; ",") -
     LEN(SUBSTITUTE("," &amp; SUBSTITUTE(TRIM(SUBSTITUTE(E9:E58," ","")),",",",") &amp; ",", ",4h,", ""))
    ) / LEN(",4h,")
  )
)</f>
        <v>0</v>
      </c>
      <c r="D173" s="20"/>
      <c r="E173" s="20"/>
      <c r="F173" s="20"/>
      <c r="G173" s="17"/>
    </row>
    <row r="174" spans="2:7">
      <c r="B174" s="20" t="s">
        <v>34</v>
      </c>
      <c r="C174" s="27" cm="1">
        <f t="array" ref="C174">SUMPRODUCT(
  (--(TRIM(F9:F58)="scholarship")) *
  (
    (LEN("," &amp; SUBSTITUTE(TRIM(SUBSTITUTE(E9:E58," ","")),",",",") &amp; ",") -
     LEN(SUBSTITUTE("," &amp; SUBSTITUTE(TRIM(SUBSTITUTE(E9:E58," ","")),",",",") &amp; ",", ",4h,", ""))
    ) / LEN(",4h,")
  )
)</f>
        <v>0</v>
      </c>
      <c r="D174" s="20"/>
      <c r="E174" s="20"/>
      <c r="F174" s="20"/>
      <c r="G174" s="17"/>
    </row>
    <row r="175" spans="2:7">
      <c r="B175" s="20" t="s">
        <v>35</v>
      </c>
      <c r="C175" s="27" cm="1">
        <f t="array" ref="C175">SUMPRODUCT(
  (--(TRIM(F9:F58)="passport")) *
  (
    (LEN("," &amp; SUBSTITUTE(TRIM(SUBSTITUTE(E9:E58," ","")),",",",") &amp; ",") -
     LEN(SUBSTITUTE("," &amp; SUBSTITUTE(TRIM(SUBSTITUTE(E9:E58," ","")),",",",") &amp; ",", ",4h,", ""))
    ) / LEN(",4h,")
  )
)</f>
        <v>0</v>
      </c>
      <c r="D175" s="20"/>
      <c r="E175" s="20"/>
      <c r="F175" s="20"/>
      <c r="G175" s="17"/>
    </row>
    <row r="176" spans="2:7">
      <c r="B176" s="20" t="s">
        <v>36</v>
      </c>
      <c r="C176" s="27" cm="1">
        <f t="array" ref="C176">SUMPRODUCT(
  (--(TRIM(F9:F58)="board exam")) *
  (
    (LEN("," &amp; SUBSTITUTE(TRIM(SUBSTITUTE(E9:E58," ","")),",",",") &amp; ",") -
     LEN(SUBSTITUTE("," &amp; SUBSTITUTE(TRIM(SUBSTITUTE(E9:E58," ","")),",",",") &amp; ",", ",4h,", ""))
    ) / LEN(",4h,")
  )
)</f>
        <v>0</v>
      </c>
      <c r="D176" s="20"/>
      <c r="E176" s="20"/>
      <c r="F176" s="20"/>
      <c r="G176" s="17"/>
    </row>
    <row r="177" spans="2:7">
      <c r="B177" s="20" t="s">
        <v>37</v>
      </c>
      <c r="C177" s="27" cm="1">
        <f t="array" ref="C177">SUMPRODUCT(
  (--(TRIM(F9:F58)="employment")) *
  (
    (LEN("," &amp; SUBSTITUTE(TRIM(SUBSTITUTE(E9:E58," ","")),",",",") &amp; ",") -
     LEN(SUBSTITUTE("," &amp; SUBSTITUTE(TRIM(SUBSTITUTE(E9:E58," ","")),",",",") &amp; ",", ",4h,", ""))
    ) / LEN(",4h,")
  )
)</f>
        <v>0</v>
      </c>
      <c r="D177" s="20"/>
      <c r="E177" s="20"/>
      <c r="F177" s="20"/>
      <c r="G177" s="17"/>
    </row>
    <row r="178" spans="2:7">
      <c r="B178" s="20" t="s">
        <v>38</v>
      </c>
      <c r="C178" s="27" cm="1">
        <f t="array" ref="C178">SUMPRODUCT(
  (--(TRIM(F9:F58)="personal file")) *
  (
    (LEN("," &amp; SUBSTITUTE(TRIM(SUBSTITUTE(E9:E58," ","")),",",",") &amp; ",") -
     LEN(SUBSTITUTE("," &amp; SUBSTITUTE(TRIM(SUBSTITUTE(E9:E58," ","")),",",",") &amp; ",", ",4h,", ""))
    ) / LEN(",4h,")
  )
)</f>
        <v>0</v>
      </c>
      <c r="D178" s="20"/>
      <c r="E178" s="20"/>
      <c r="F178" s="20"/>
      <c r="G178" s="17"/>
    </row>
    <row r="179" spans="2:7">
      <c r="B179" s="20" t="s">
        <v>39</v>
      </c>
      <c r="C179" s="27" cm="1">
        <f t="array" ref="C179">SUMPRODUCT(
  (--(TRIM(F9:F58)="advanced studies")) *
  (
    (LEN("," &amp; SUBSTITUTE(TRIM(SUBSTITUTE(E9:E58," ","")),",",",") &amp; ",") -
     LEN(SUBSTITUTE("," &amp; SUBSTITUTE(TRIM(SUBSTITUTE(E9:E58," ","")),",",",") &amp; ",", ",4h,", ""))
    ) / LEN(",4h,")
  )
)</f>
        <v>0</v>
      </c>
      <c r="D179" s="20"/>
      <c r="E179" s="20"/>
      <c r="F179" s="20"/>
      <c r="G179" s="17"/>
    </row>
    <row r="180" spans="2:7">
      <c r="B180" s="20" t="s">
        <v>40</v>
      </c>
      <c r="C180" s="27" cm="1">
        <f t="array" ref="C180">SUMPRODUCT(
  (--(TRIM(F9:F58)="ranking")) *
  (
    (LEN("," &amp; SUBSTITUTE(TRIM(SUBSTITUTE(E9:E58," ","")),",",",") &amp; ",") -
     LEN(SUBSTITUTE("," &amp; SUBSTITUTE(TRIM(SUBSTITUTE(E9:E58," ","")),",",",") &amp; ",", ",4h,", ""))
    ) / LEN(",4h,")
  )
)</f>
        <v>0</v>
      </c>
      <c r="D180" s="20"/>
      <c r="E180" s="20"/>
      <c r="F180" s="20"/>
      <c r="G180" s="17"/>
    </row>
    <row r="181" spans="2:7">
      <c r="B181" s="20" t="s">
        <v>41</v>
      </c>
      <c r="C181" s="27">
        <f>(C172)- SUM(C173:C180)</f>
        <v>0</v>
      </c>
      <c r="D181" s="20"/>
      <c r="E181" s="20"/>
      <c r="F181" s="20"/>
      <c r="G181" s="20"/>
    </row>
    <row r="184" spans="2:7">
      <c r="B184" s="20" t="s">
        <v>52</v>
      </c>
      <c r="C184" s="20" t="s">
        <v>53</v>
      </c>
      <c r="D184" s="20" t="s">
        <v>54</v>
      </c>
      <c r="E184" s="20" t="s">
        <v>55</v>
      </c>
      <c r="F184" s="20" t="s">
        <v>56</v>
      </c>
    </row>
    <row r="185" spans="2:7">
      <c r="B185" s="20">
        <f t="array" ref="B185">IFERROR(INDEX($B$9:$B$58, SMALL(IF(ISNUMBER(MATCH($C$9:$C$58, {"BSCE","BSCHEM","BSFT","BS-Arch","SHS-STEM"}, 0)), ROW($B$9:$B$58)-ROW($B$9)+1), ROW(A1))), "")</f>
        <v>0</v>
      </c>
      <c r="C185" s="20">
        <f t="array" ref="C185">IFERROR(INDEX($B$9:$B$58, SMALL(IF(ISNUMBER(MATCH($C$9:$C$58, {"BSTCM","BSCS","BSDS","BSEMT","BSEMT-MR","BSET-ES","BSET-TN","BSESM-EMCM","BSESM-PSPE","BSMET","BTOM","BSECT","BSETM","BS-ArchMT","BSIT (Industral Tech)","BSEST","BSES-EMT","BSES-NRM","BS-ArchM","COT","BEED","DT-SPED"}, 0)), ROW($B$9:$B$58)-ROW($B$9)+1), ROW(A1))), "")</f>
        <v>0</v>
      </c>
      <c r="D185" s="20">
        <f t="array" ref="D185">IFERROR(INDEX($B$9:$B$58, SMALL(IF(ISNUMBER(MATCH($C$9:$C$58, {"BS-Arch","BSCPE","BSEE","BSECE","BSGE","BSME"}, 0)), ROW($B$9:$B$58)-ROW($B$9)+1), ROW(A1))), "")</f>
        <v>0</v>
      </c>
      <c r="E185" s="20">
        <f t="array" ref="E185">IFERROR(INDEX($B$9:$B$58, SMALL(IF((ISNUMBER(SEARCH("BSIT", $C$9:$C$58)) + ISNUMBER(SEARCH("BTVTED", $C$9:$C$58)) + ISNUMBER(SEARCH("BSED", $C$9:$C$58)) + ISNUMBER(SEARCH("BTLED", $C$9:$C$58))) &gt; 0, ROW($B$9:$B$58)-ROW($B$9)+1), ROW(A1))), "")</f>
        <v>0</v>
      </c>
      <c r="F185" s="20">
        <f t="array" ref="F185">IFERROR(INDEX($B$9:$B$58, SMALL(IF(ISNUMBER(MATCH($C$9:$C$58,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ROW($B$9:$B$58)-ROW($B$9)+1), ROW(A1))), "")</f>
        <v>0</v>
      </c>
    </row>
    <row r="186" spans="2:7">
      <c r="B186" s="20"/>
      <c r="C186" s="20"/>
      <c r="D186" s="20"/>
      <c r="E186" s="20"/>
      <c r="F186" s="20"/>
    </row>
    <row r="187" spans="2:7">
      <c r="B187" s="20"/>
      <c r="C187" s="20"/>
      <c r="D187" s="20"/>
      <c r="E187" s="20"/>
      <c r="F187" s="20"/>
    </row>
    <row r="188" spans="2:7">
      <c r="B188" s="20"/>
      <c r="C188" s="20"/>
      <c r="D188" s="20"/>
      <c r="E188" s="20"/>
      <c r="F188" s="20"/>
    </row>
    <row r="189" spans="2:7">
      <c r="B189" s="20"/>
      <c r="C189" s="20"/>
      <c r="D189" s="20"/>
      <c r="E189" s="20"/>
      <c r="F189" s="20"/>
    </row>
    <row r="190" spans="2:7">
      <c r="B190" s="20"/>
      <c r="C190" s="20"/>
      <c r="D190" s="20"/>
      <c r="E190" s="20"/>
      <c r="F190" s="20"/>
    </row>
    <row r="191" spans="2:7">
      <c r="B191" s="20"/>
      <c r="C191" s="20"/>
      <c r="D191" s="20"/>
      <c r="E191" s="20"/>
      <c r="F191" s="20"/>
    </row>
    <row r="192" spans="2:7">
      <c r="B192" s="20"/>
      <c r="C192" s="20"/>
      <c r="D192" s="20"/>
      <c r="E192" s="20"/>
      <c r="F192" s="20"/>
    </row>
    <row r="193" spans="2:6">
      <c r="B193" s="20"/>
      <c r="C193" s="20"/>
      <c r="D193" s="20"/>
      <c r="E193" s="20"/>
      <c r="F193" s="20"/>
    </row>
    <row r="194" spans="2:6">
      <c r="B194" s="20"/>
      <c r="C194" s="20"/>
      <c r="D194" s="20"/>
      <c r="E194" s="20"/>
      <c r="F194" s="20"/>
    </row>
    <row r="195" spans="2:6">
      <c r="B195" s="20"/>
      <c r="C195" s="20"/>
      <c r="D195" s="20"/>
      <c r="E195" s="20"/>
      <c r="F195" s="20"/>
    </row>
    <row r="196" spans="2:6">
      <c r="B196" s="20"/>
      <c r="C196" s="20"/>
      <c r="D196" s="20"/>
      <c r="E196" s="20"/>
      <c r="F196" s="20"/>
    </row>
  </sheetData>
  <sortState ref="B9:I52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22:C30" xr:uid="{CBC8883C-EDCE-46CD-9EC9-074029D211A2}">
      <formula1>A14:A213</formula1>
    </dataValidation>
  </dataValidation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showErrorMessage="1" errorTitle="Please Check Entry" error="It is recommended to pick a course from the list." xr:uid="{0C2F9F2B-417D-4C07-B07D-D17DFBD6A531}">
          <x14:formula1>
            <xm:f>#REF!</xm:f>
          </x14:formula1>
          <xm:sqref>C19:C21</xm:sqref>
        </x14:dataValidation>
        <x14:dataValidation type="list" errorStyle="information" allowBlank="1" showInputMessage="1" showErrorMessage="1" errorTitle="Please Check Entry" error="It is recommended to pick a course from the list." xr:uid="{F7E33F57-09BE-41FE-B32A-617C3FBCF70A}">
          <x14:formula1>
            <xm:f>#REF!</xm:f>
          </x14:formula1>
          <xm:sqref>C33:C58</xm:sqref>
        </x14:dataValidation>
        <x14:dataValidation type="list" errorStyle="information" allowBlank="1" showInputMessage="1" showErrorMessage="1" errorTitle="Please Check Entry" error="It is recommended to pick a course from the list." xr:uid="{73F1BB3A-3DA6-4690-82AB-EEED103D6242}">
          <x14:formula1>
            <xm:f>#REF!</xm:f>
          </x14:formula1>
          <xm:sqref>C32</xm:sqref>
        </x14:dataValidation>
        <x14:dataValidation type="list" errorStyle="information" allowBlank="1" showInputMessage="1" showErrorMessage="1" errorTitle="Please Check Entry" error="It is recommended to pick a course from the list." xr:uid="{E3CE4D18-9FB2-4171-BC79-2140200FC694}">
          <x14:formula1>
            <xm:f>#REF!</xm:f>
          </x14:formula1>
          <xm:sqref>C9:C18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2A46-BD2B-4218-B336-0BFDBC5844AE}">
  <sheetPr codeName="Sheet19"/>
  <dimension ref="A1:R258"/>
  <sheetViews>
    <sheetView zoomScale="98" zoomScaleNormal="45" workbookViewId="0">
      <selection activeCell="F23" sqref="F23"/>
    </sheetView>
  </sheetViews>
  <sheetFormatPr defaultRowHeight="14.25"/>
  <cols>
    <col min="1" max="1" width="4.125" customWidth="1"/>
    <col min="2" max="2" width="23.375" customWidth="1"/>
    <col min="3" max="3" width="10" customWidth="1"/>
    <col min="4" max="4" width="8.125" customWidth="1"/>
    <col min="5" max="5" width="7.75" customWidth="1"/>
    <col min="6" max="7" width="14.125" customWidth="1"/>
    <col min="8" max="8" width="10.625" customWidth="1"/>
    <col min="9" max="9" width="8.125" customWidth="1"/>
  </cols>
  <sheetData>
    <row r="1" spans="1:18" ht="22.5">
      <c r="A1" s="115">
        <v>45996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8">
      <c r="A2" s="116"/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8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8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8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8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8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8" ht="105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8">
      <c r="A9" s="12">
        <v>1</v>
      </c>
      <c r="B9" s="59"/>
      <c r="C9" s="21" t="s">
        <v>67</v>
      </c>
      <c r="D9" s="54" t="s">
        <v>72</v>
      </c>
      <c r="E9" s="46">
        <v>1</v>
      </c>
      <c r="F9" s="17" t="s">
        <v>111</v>
      </c>
      <c r="G9" s="53">
        <v>45992</v>
      </c>
      <c r="H9" s="37">
        <v>45996</v>
      </c>
      <c r="I9" s="55" t="str">
        <f t="shared" ref="I9:I21" si="0">DATEDIF(G9, H9, "D")  &amp; " Days"</f>
        <v>4 Days</v>
      </c>
      <c r="J9" s="51"/>
      <c r="K9" s="52"/>
      <c r="L9" s="52"/>
      <c r="O9" s="81" t="e">
        <f>VLOOKUP(C9,#REF!,2, 0)</f>
        <v>#REF!</v>
      </c>
      <c r="P9" s="43"/>
      <c r="Q9" s="43"/>
      <c r="R9" s="43"/>
    </row>
    <row r="10" spans="1:18">
      <c r="A10" s="12">
        <v>2</v>
      </c>
      <c r="B10" s="20"/>
      <c r="C10" s="50" t="s">
        <v>64</v>
      </c>
      <c r="D10" s="54" t="s">
        <v>72</v>
      </c>
      <c r="E10" s="46">
        <v>1</v>
      </c>
      <c r="F10" s="46" t="s">
        <v>111</v>
      </c>
      <c r="G10" s="53">
        <v>45992</v>
      </c>
      <c r="H10" s="53">
        <v>45996</v>
      </c>
      <c r="I10" s="55" t="str">
        <f t="shared" si="0"/>
        <v>4 Days</v>
      </c>
      <c r="J10" s="22"/>
      <c r="K10" s="23"/>
      <c r="L10" s="23"/>
      <c r="O10" s="81" t="e">
        <f>VLOOKUP(C10,#REF!,2, 0)</f>
        <v>#REF!</v>
      </c>
      <c r="P10" s="43"/>
      <c r="Q10" s="43"/>
      <c r="R10" s="43"/>
    </row>
    <row r="11" spans="1:18">
      <c r="A11" s="44">
        <v>3</v>
      </c>
      <c r="B11" s="49"/>
      <c r="C11" s="50" t="s">
        <v>61</v>
      </c>
      <c r="D11" s="54" t="s">
        <v>72</v>
      </c>
      <c r="E11" s="46">
        <v>1</v>
      </c>
      <c r="F11" s="17" t="s">
        <v>50</v>
      </c>
      <c r="G11" s="53">
        <v>45992</v>
      </c>
      <c r="H11" s="37">
        <v>45996</v>
      </c>
      <c r="I11" s="55" t="str">
        <f t="shared" si="0"/>
        <v>4 Days</v>
      </c>
      <c r="J11" s="51"/>
      <c r="K11" s="52"/>
      <c r="L11" s="52"/>
      <c r="O11" s="81" t="e">
        <f>VLOOKUP(C11,#REF!,2, 0)</f>
        <v>#REF!</v>
      </c>
      <c r="P11" s="43"/>
      <c r="Q11" s="43"/>
      <c r="R11" s="43"/>
    </row>
    <row r="12" spans="1:18">
      <c r="A12" s="44">
        <v>4</v>
      </c>
      <c r="B12" s="20"/>
      <c r="C12" s="50" t="s">
        <v>67</v>
      </c>
      <c r="D12" s="54" t="s">
        <v>72</v>
      </c>
      <c r="E12" s="17">
        <v>1</v>
      </c>
      <c r="F12" s="17" t="s">
        <v>111</v>
      </c>
      <c r="G12" s="37">
        <v>45992</v>
      </c>
      <c r="H12" s="37">
        <v>45996</v>
      </c>
      <c r="I12" s="55" t="str">
        <f t="shared" si="0"/>
        <v>4 Days</v>
      </c>
      <c r="J12" s="20"/>
      <c r="K12" s="20"/>
      <c r="L12" s="20"/>
      <c r="O12" s="81" t="e">
        <f>VLOOKUP(C12,#REF!,2, 0)</f>
        <v>#REF!</v>
      </c>
      <c r="P12" s="43"/>
      <c r="Q12" s="43"/>
      <c r="R12" s="43"/>
    </row>
    <row r="13" spans="1:18">
      <c r="A13" s="44">
        <v>5</v>
      </c>
      <c r="B13" s="20"/>
      <c r="C13" s="50" t="s">
        <v>66</v>
      </c>
      <c r="D13" s="54" t="s">
        <v>72</v>
      </c>
      <c r="E13" s="46">
        <v>1</v>
      </c>
      <c r="F13" s="46" t="s">
        <v>111</v>
      </c>
      <c r="G13" s="53">
        <v>45992</v>
      </c>
      <c r="H13" s="53">
        <v>45996</v>
      </c>
      <c r="I13" s="55" t="str">
        <f t="shared" si="0"/>
        <v>4 Days</v>
      </c>
      <c r="J13" s="22"/>
      <c r="K13" s="23"/>
      <c r="L13" s="23"/>
      <c r="O13" s="81" t="e">
        <f>VLOOKUP(C13,#REF!,2, 0)</f>
        <v>#REF!</v>
      </c>
      <c r="P13" s="43"/>
      <c r="Q13" s="43"/>
      <c r="R13" s="43"/>
    </row>
    <row r="14" spans="1:18">
      <c r="A14" s="44">
        <v>6</v>
      </c>
      <c r="B14" s="20"/>
      <c r="C14" s="49" t="s">
        <v>124</v>
      </c>
      <c r="D14" s="49"/>
      <c r="E14" s="46">
        <v>1</v>
      </c>
      <c r="F14" s="46" t="s">
        <v>49</v>
      </c>
      <c r="G14" s="53">
        <v>45992</v>
      </c>
      <c r="H14" s="53">
        <v>45996</v>
      </c>
      <c r="I14" s="55" t="str">
        <f t="shared" si="0"/>
        <v>4 Days</v>
      </c>
      <c r="J14" s="49"/>
      <c r="K14" s="49"/>
      <c r="L14" s="49"/>
      <c r="O14" s="81" t="e">
        <f>VLOOKUP(C14,#REF!,2, 0)</f>
        <v>#REF!</v>
      </c>
      <c r="Q14" t="s">
        <v>80</v>
      </c>
      <c r="R14">
        <f>COUNTIF(O:O,Q14)</f>
        <v>0</v>
      </c>
    </row>
    <row r="15" spans="1:18">
      <c r="A15" s="44">
        <v>7</v>
      </c>
      <c r="B15" s="20"/>
      <c r="C15" s="50" t="s">
        <v>67</v>
      </c>
      <c r="D15" s="46"/>
      <c r="E15" s="46">
        <v>1</v>
      </c>
      <c r="F15" s="46" t="s">
        <v>111</v>
      </c>
      <c r="G15" s="53">
        <v>45992</v>
      </c>
      <c r="H15" s="53">
        <v>45996</v>
      </c>
      <c r="I15" s="55" t="str">
        <f t="shared" si="0"/>
        <v>4 Days</v>
      </c>
      <c r="J15" s="51"/>
      <c r="K15" s="52"/>
      <c r="L15" s="52"/>
      <c r="O15" s="81" t="e">
        <f>VLOOKUP(C15,#REF!,2, 0)</f>
        <v>#REF!</v>
      </c>
      <c r="Q15" t="s">
        <v>81</v>
      </c>
      <c r="R15">
        <f>COUNTIF(O:O,Q15)</f>
        <v>0</v>
      </c>
    </row>
    <row r="16" spans="1:18">
      <c r="A16" s="44">
        <v>8</v>
      </c>
      <c r="B16" s="20"/>
      <c r="C16" s="50" t="s">
        <v>64</v>
      </c>
      <c r="D16" s="54" t="s">
        <v>72</v>
      </c>
      <c r="E16" s="46">
        <v>1</v>
      </c>
      <c r="F16" s="46" t="s">
        <v>111</v>
      </c>
      <c r="G16" s="53">
        <v>45992</v>
      </c>
      <c r="H16" s="53">
        <v>45996</v>
      </c>
      <c r="I16" s="55" t="str">
        <f t="shared" si="0"/>
        <v>4 Days</v>
      </c>
      <c r="J16" s="49"/>
      <c r="K16" s="49"/>
      <c r="L16" s="49"/>
      <c r="O16" s="81" t="e">
        <f>VLOOKUP(C16,#REF!,2, 0)</f>
        <v>#REF!</v>
      </c>
    </row>
    <row r="17" spans="1:18">
      <c r="A17" s="44">
        <v>9</v>
      </c>
      <c r="B17" s="49"/>
      <c r="C17" s="50" t="s">
        <v>64</v>
      </c>
      <c r="D17" s="54" t="s">
        <v>72</v>
      </c>
      <c r="E17" s="17">
        <v>1</v>
      </c>
      <c r="F17" s="46" t="s">
        <v>111</v>
      </c>
      <c r="G17" s="53">
        <v>45992</v>
      </c>
      <c r="H17" s="53">
        <v>45996</v>
      </c>
      <c r="I17" s="55" t="str">
        <f t="shared" si="0"/>
        <v>4 Days</v>
      </c>
      <c r="J17" s="49"/>
      <c r="K17" s="49"/>
      <c r="L17" s="49"/>
      <c r="O17" s="81" t="e">
        <f>VLOOKUP(C17,#REF!,2, 0)</f>
        <v>#REF!</v>
      </c>
    </row>
    <row r="18" spans="1:18">
      <c r="A18" s="44">
        <v>10</v>
      </c>
      <c r="B18" s="20"/>
      <c r="C18" s="50" t="s">
        <v>132</v>
      </c>
      <c r="D18" s="69"/>
      <c r="E18" s="65">
        <v>1</v>
      </c>
      <c r="F18" s="17" t="s">
        <v>49</v>
      </c>
      <c r="G18" s="53">
        <v>45992</v>
      </c>
      <c r="H18" s="53">
        <v>45996</v>
      </c>
      <c r="I18" s="55" t="str">
        <f t="shared" si="0"/>
        <v>4 Days</v>
      </c>
      <c r="J18" s="69"/>
      <c r="K18" s="52"/>
      <c r="L18" s="52"/>
      <c r="O18" s="81" t="e">
        <f>VLOOKUP(C18,#REF!,2, 0)</f>
        <v>#REF!</v>
      </c>
    </row>
    <row r="19" spans="1:18">
      <c r="A19" s="44">
        <v>11</v>
      </c>
      <c r="B19" s="20"/>
      <c r="C19" s="50" t="s">
        <v>67</v>
      </c>
      <c r="D19" s="54" t="s">
        <v>72</v>
      </c>
      <c r="E19" s="46">
        <v>1</v>
      </c>
      <c r="F19" s="17" t="s">
        <v>111</v>
      </c>
      <c r="G19" s="53">
        <v>45992</v>
      </c>
      <c r="H19" s="53">
        <v>45996</v>
      </c>
      <c r="I19" s="55" t="str">
        <f t="shared" si="0"/>
        <v>4 Days</v>
      </c>
      <c r="J19" s="22"/>
      <c r="K19" s="52"/>
      <c r="L19" s="52"/>
      <c r="O19" s="81" t="e">
        <f>VLOOKUP(C19,#REF!,2, 0)</f>
        <v>#REF!</v>
      </c>
      <c r="Q19" t="s">
        <v>78</v>
      </c>
      <c r="R19">
        <f>COUNTIF(O:O,Q19)</f>
        <v>0</v>
      </c>
    </row>
    <row r="20" spans="1:18">
      <c r="A20" s="44">
        <v>12</v>
      </c>
      <c r="B20" s="20"/>
      <c r="C20" s="50" t="s">
        <v>60</v>
      </c>
      <c r="D20" s="54" t="s">
        <v>72</v>
      </c>
      <c r="E20" s="66">
        <v>1</v>
      </c>
      <c r="F20" s="46" t="s">
        <v>111</v>
      </c>
      <c r="G20" s="73">
        <v>45992</v>
      </c>
      <c r="H20" s="53">
        <v>45996</v>
      </c>
      <c r="I20" s="55" t="str">
        <f t="shared" si="0"/>
        <v>4 Days</v>
      </c>
      <c r="J20" s="22"/>
      <c r="K20" s="23"/>
      <c r="L20" s="23"/>
      <c r="O20" s="81" t="e">
        <f>VLOOKUP(C20,#REF!,2, 0)</f>
        <v>#REF!</v>
      </c>
    </row>
    <row r="21" spans="1:18">
      <c r="A21" s="44">
        <v>13</v>
      </c>
      <c r="B21" s="20"/>
      <c r="C21" s="50" t="s">
        <v>67</v>
      </c>
      <c r="D21" s="54" t="s">
        <v>72</v>
      </c>
      <c r="E21" s="66">
        <v>1</v>
      </c>
      <c r="F21" s="46" t="s">
        <v>111</v>
      </c>
      <c r="G21" s="73">
        <v>45992</v>
      </c>
      <c r="H21" s="53">
        <v>45996</v>
      </c>
      <c r="I21" s="55" t="str">
        <f t="shared" si="0"/>
        <v>4 Days</v>
      </c>
      <c r="J21" s="71"/>
      <c r="K21" s="49"/>
      <c r="L21" s="49"/>
      <c r="O21" s="81" t="e">
        <f>VLOOKUP(C21,#REF!,2, 0)</f>
        <v>#REF!</v>
      </c>
    </row>
    <row r="22" spans="1:18">
      <c r="A22" s="44">
        <v>14</v>
      </c>
      <c r="B22" s="49"/>
      <c r="C22" s="50" t="s">
        <v>51</v>
      </c>
      <c r="D22" s="54" t="s">
        <v>72</v>
      </c>
      <c r="E22" s="65">
        <v>1</v>
      </c>
      <c r="F22" s="46" t="s">
        <v>50</v>
      </c>
      <c r="G22" s="67">
        <v>45990</v>
      </c>
      <c r="H22" s="53">
        <v>45996</v>
      </c>
      <c r="I22" s="55" t="str">
        <f>DATEDIF(G22, H22, "D")-2  &amp; " Days"</f>
        <v>4 Days</v>
      </c>
      <c r="J22" s="20"/>
      <c r="K22" s="20"/>
      <c r="L22" s="20"/>
      <c r="O22" s="81" t="e">
        <f>VLOOKUP(C22,#REF!,2, 0)</f>
        <v>#REF!</v>
      </c>
      <c r="Q22" t="s">
        <v>77</v>
      </c>
      <c r="R22">
        <f>COUNTIF(O:O,Q22)</f>
        <v>0</v>
      </c>
    </row>
    <row r="23" spans="1:18">
      <c r="A23" s="44">
        <v>15</v>
      </c>
      <c r="B23" s="69"/>
      <c r="C23" s="50" t="s">
        <v>67</v>
      </c>
      <c r="D23" s="74" t="s">
        <v>72</v>
      </c>
      <c r="E23" s="66">
        <v>1</v>
      </c>
      <c r="F23" s="46" t="s">
        <v>111</v>
      </c>
      <c r="G23" s="73">
        <v>45992</v>
      </c>
      <c r="H23" s="53">
        <v>45996</v>
      </c>
      <c r="I23" s="55" t="str">
        <f>DATEDIF(G23, H23, "D")  &amp; " Days"</f>
        <v>4 Days</v>
      </c>
      <c r="J23" s="69"/>
      <c r="K23" s="52"/>
      <c r="L23" s="52"/>
      <c r="O23" s="81" t="e">
        <f>VLOOKUP(C23,#REF!,2, 0)</f>
        <v>#REF!</v>
      </c>
    </row>
    <row r="24" spans="1:18">
      <c r="A24" s="44">
        <v>16</v>
      </c>
      <c r="B24" s="62"/>
      <c r="C24" s="50" t="s">
        <v>128</v>
      </c>
      <c r="D24" s="66"/>
      <c r="E24" s="65">
        <v>1</v>
      </c>
      <c r="F24" s="46" t="s">
        <v>49</v>
      </c>
      <c r="G24" s="53">
        <v>45992</v>
      </c>
      <c r="H24" s="53">
        <v>45996</v>
      </c>
      <c r="I24" s="55" t="str">
        <f>DATEDIF(G24, H24, "D")  &amp; " Days"</f>
        <v>4 Days</v>
      </c>
      <c r="J24" s="69"/>
      <c r="K24" s="23"/>
      <c r="L24" s="23"/>
      <c r="O24" s="81" t="e">
        <f>VLOOKUP(C24,#REF!,2, 0)</f>
        <v>#REF!</v>
      </c>
    </row>
    <row r="25" spans="1:18">
      <c r="A25" s="44">
        <v>17</v>
      </c>
      <c r="B25" s="20"/>
      <c r="C25" s="50" t="s">
        <v>66</v>
      </c>
      <c r="D25" s="74" t="s">
        <v>72</v>
      </c>
      <c r="E25" s="66">
        <v>1</v>
      </c>
      <c r="F25" s="46" t="s">
        <v>111</v>
      </c>
      <c r="G25" s="53">
        <v>45992</v>
      </c>
      <c r="H25" s="53">
        <v>45996</v>
      </c>
      <c r="I25" s="55" t="str">
        <f>DATEDIF(G25, H25, "D")  &amp; " Days"</f>
        <v>4 Days</v>
      </c>
      <c r="J25" s="69"/>
      <c r="K25" s="49"/>
      <c r="L25" s="49"/>
      <c r="O25" s="81" t="e">
        <f>VLOOKUP(C25,#REF!,2, 0)</f>
        <v>#REF!</v>
      </c>
    </row>
    <row r="26" spans="1:18">
      <c r="A26" s="44">
        <v>18</v>
      </c>
      <c r="B26" s="77"/>
      <c r="C26" s="50" t="s">
        <v>138</v>
      </c>
      <c r="D26" s="69"/>
      <c r="E26" s="65">
        <v>1</v>
      </c>
      <c r="F26" s="46" t="s">
        <v>49</v>
      </c>
      <c r="G26" s="73">
        <v>45992</v>
      </c>
      <c r="H26" s="53">
        <v>45996</v>
      </c>
      <c r="I26" s="55" t="str">
        <f>DATEDIF(G26, H26, "D")  &amp; " Days"</f>
        <v>4 Days</v>
      </c>
      <c r="J26" s="71"/>
      <c r="K26" s="49"/>
      <c r="L26" s="49"/>
      <c r="O26" s="81" t="e">
        <f>VLOOKUP(C26,#REF!,2, 0)</f>
        <v>#REF!</v>
      </c>
    </row>
    <row r="27" spans="1:18">
      <c r="A27" s="44">
        <v>19</v>
      </c>
      <c r="B27" s="62"/>
      <c r="C27" s="70" t="s">
        <v>51</v>
      </c>
      <c r="D27" s="74" t="s">
        <v>72</v>
      </c>
      <c r="E27" s="65">
        <v>1</v>
      </c>
      <c r="F27" s="46" t="s">
        <v>50</v>
      </c>
      <c r="G27" s="67">
        <v>45990</v>
      </c>
      <c r="H27" s="53">
        <v>45996</v>
      </c>
      <c r="I27" s="55" t="str">
        <f>DATEDIF(G27, H27, "D")-2  &amp; " Days"</f>
        <v>4 Days</v>
      </c>
      <c r="J27" s="71"/>
      <c r="K27" s="20"/>
      <c r="L27" s="20"/>
      <c r="O27" s="81" t="e">
        <f>VLOOKUP(C27,#REF!,2, 0)</f>
        <v>#REF!</v>
      </c>
      <c r="Q27" t="s">
        <v>79</v>
      </c>
      <c r="R27">
        <f>COUNTIF(O:O,Q27)</f>
        <v>0</v>
      </c>
    </row>
    <row r="28" spans="1:18">
      <c r="A28" s="44">
        <v>20</v>
      </c>
      <c r="B28" s="69"/>
      <c r="C28" s="50" t="s">
        <v>67</v>
      </c>
      <c r="D28" s="74" t="s">
        <v>72</v>
      </c>
      <c r="E28" s="66">
        <v>1</v>
      </c>
      <c r="F28" s="46" t="s">
        <v>111</v>
      </c>
      <c r="G28" s="73">
        <v>45992</v>
      </c>
      <c r="H28" s="53">
        <v>45996</v>
      </c>
      <c r="I28" s="55" t="str">
        <f>DATEDIF(G28, H28, "D")  &amp; " Days"</f>
        <v>4 Days</v>
      </c>
      <c r="J28" s="69"/>
      <c r="K28" s="23"/>
      <c r="L28" s="23"/>
      <c r="O28" s="81" t="e">
        <f>VLOOKUP(C28,#REF!,2, 0)</f>
        <v>#REF!</v>
      </c>
    </row>
    <row r="29" spans="1:18">
      <c r="A29" s="44">
        <v>21</v>
      </c>
      <c r="B29" s="69"/>
      <c r="C29" s="70" t="s">
        <v>137</v>
      </c>
      <c r="D29" s="49"/>
      <c r="E29" s="65">
        <v>1</v>
      </c>
      <c r="F29" s="66" t="s">
        <v>49</v>
      </c>
      <c r="G29" s="53">
        <v>45992</v>
      </c>
      <c r="H29" s="53">
        <v>45996</v>
      </c>
      <c r="I29" s="55" t="str">
        <f>DATEDIF(G29, H29, "D")  &amp; " Days"</f>
        <v>4 Days</v>
      </c>
      <c r="J29" s="49"/>
      <c r="K29" s="49"/>
      <c r="L29" s="49"/>
      <c r="O29" s="81" t="e">
        <f>VLOOKUP(C29,#REF!,2, 0)</f>
        <v>#REF!</v>
      </c>
    </row>
    <row r="30" spans="1:18">
      <c r="A30" s="44">
        <v>22</v>
      </c>
      <c r="B30" s="62"/>
      <c r="C30" s="70" t="s">
        <v>51</v>
      </c>
      <c r="D30" s="69"/>
      <c r="E30" s="46">
        <v>1</v>
      </c>
      <c r="F30" s="69" t="s">
        <v>49</v>
      </c>
      <c r="G30" s="53">
        <v>45993</v>
      </c>
      <c r="H30" s="53">
        <v>45996</v>
      </c>
      <c r="I30" s="55" t="s">
        <v>86</v>
      </c>
      <c r="J30" s="51"/>
      <c r="K30" s="52"/>
      <c r="L30" s="52"/>
      <c r="O30" s="81" t="e">
        <f>VLOOKUP(C30,#REF!,2, 0)</f>
        <v>#REF!</v>
      </c>
    </row>
    <row r="31" spans="1:18">
      <c r="A31" s="44">
        <v>23</v>
      </c>
      <c r="B31" s="69"/>
      <c r="C31" s="50" t="s">
        <v>82</v>
      </c>
      <c r="D31" s="74" t="s">
        <v>72</v>
      </c>
      <c r="E31" s="66">
        <v>1</v>
      </c>
      <c r="F31" s="17" t="s">
        <v>119</v>
      </c>
      <c r="G31" s="53">
        <v>45992</v>
      </c>
      <c r="H31" s="53">
        <v>45996</v>
      </c>
      <c r="I31" s="55" t="str">
        <f t="shared" ref="I31:I43" si="1">DATEDIF(G31, H31, "D")  &amp; " Days"</f>
        <v>4 Days</v>
      </c>
      <c r="J31" s="69"/>
      <c r="K31" s="23"/>
      <c r="L31" s="23"/>
      <c r="O31" s="81" t="e">
        <f>VLOOKUP(C31,#REF!,2, 0)</f>
        <v>#REF!</v>
      </c>
    </row>
    <row r="32" spans="1:18">
      <c r="A32" s="44">
        <v>24</v>
      </c>
      <c r="B32" s="62"/>
      <c r="C32" s="50" t="s">
        <v>127</v>
      </c>
      <c r="D32" s="66"/>
      <c r="E32" s="65">
        <v>1</v>
      </c>
      <c r="F32" s="46" t="s">
        <v>49</v>
      </c>
      <c r="G32" s="53">
        <v>45992</v>
      </c>
      <c r="H32" s="53">
        <v>45996</v>
      </c>
      <c r="I32" s="55" t="str">
        <f t="shared" si="1"/>
        <v>4 Days</v>
      </c>
      <c r="J32" s="20"/>
      <c r="K32" s="20"/>
      <c r="L32" s="20"/>
      <c r="O32" s="81" t="e">
        <f>VLOOKUP(C32,#REF!,2, 0)</f>
        <v>#REF!</v>
      </c>
    </row>
    <row r="33" spans="1:15">
      <c r="A33" s="44">
        <v>25</v>
      </c>
      <c r="B33" s="69"/>
      <c r="C33" s="50" t="s">
        <v>139</v>
      </c>
      <c r="D33" s="69"/>
      <c r="E33" s="65">
        <v>1</v>
      </c>
      <c r="F33" s="46" t="s">
        <v>49</v>
      </c>
      <c r="G33" s="53">
        <v>45992</v>
      </c>
      <c r="H33" s="53">
        <v>45996</v>
      </c>
      <c r="I33" s="55" t="str">
        <f t="shared" si="1"/>
        <v>4 Days</v>
      </c>
      <c r="J33" s="20"/>
      <c r="K33" s="20"/>
      <c r="L33" s="20"/>
      <c r="O33" s="81" t="e">
        <f>VLOOKUP(C33,#REF!,2, 0)</f>
        <v>#REF!</v>
      </c>
    </row>
    <row r="34" spans="1:15">
      <c r="A34" s="44">
        <v>26</v>
      </c>
      <c r="B34" s="69"/>
      <c r="C34" s="50" t="s">
        <v>67</v>
      </c>
      <c r="D34" s="74" t="s">
        <v>72</v>
      </c>
      <c r="E34" s="66">
        <v>1</v>
      </c>
      <c r="F34" s="17" t="s">
        <v>111</v>
      </c>
      <c r="G34" s="53">
        <v>45992</v>
      </c>
      <c r="H34" s="53">
        <v>45996</v>
      </c>
      <c r="I34" s="55" t="str">
        <f t="shared" si="1"/>
        <v>4 Days</v>
      </c>
      <c r="J34" s="20"/>
      <c r="K34" s="20"/>
      <c r="L34" s="20"/>
      <c r="O34" s="81" t="e">
        <f>VLOOKUP(C34,#REF!,2, 0)</f>
        <v>#REF!</v>
      </c>
    </row>
    <row r="35" spans="1:15">
      <c r="A35" s="12">
        <v>27</v>
      </c>
      <c r="B35" s="69"/>
      <c r="C35" s="50" t="s">
        <v>135</v>
      </c>
      <c r="D35" s="69"/>
      <c r="E35" s="45">
        <v>1</v>
      </c>
      <c r="F35" s="46" t="s">
        <v>49</v>
      </c>
      <c r="G35" s="53">
        <v>45992</v>
      </c>
      <c r="H35" s="53">
        <v>45996</v>
      </c>
      <c r="I35" s="55" t="str">
        <f t="shared" si="1"/>
        <v>4 Days</v>
      </c>
      <c r="J35" s="20"/>
      <c r="K35" s="20"/>
      <c r="L35" s="20"/>
      <c r="O35" s="81" t="e">
        <f>VLOOKUP(C35,#REF!,2, 0)</f>
        <v>#REF!</v>
      </c>
    </row>
    <row r="36" spans="1:15">
      <c r="A36" s="12">
        <v>28</v>
      </c>
      <c r="B36" s="69"/>
      <c r="C36" s="70" t="s">
        <v>136</v>
      </c>
      <c r="D36" s="69"/>
      <c r="E36" s="65">
        <v>1</v>
      </c>
      <c r="F36" s="46" t="s">
        <v>49</v>
      </c>
      <c r="G36" s="53">
        <v>45992</v>
      </c>
      <c r="H36" s="53">
        <v>45996</v>
      </c>
      <c r="I36" s="55" t="str">
        <f t="shared" si="1"/>
        <v>4 Days</v>
      </c>
      <c r="J36" s="20"/>
      <c r="K36" s="20"/>
      <c r="L36" s="20"/>
      <c r="O36" s="81" t="e">
        <f>VLOOKUP(C36,#REF!,2, 0)</f>
        <v>#REF!</v>
      </c>
    </row>
    <row r="37" spans="1:15">
      <c r="A37" s="12">
        <v>29</v>
      </c>
      <c r="B37" s="69"/>
      <c r="C37" s="69" t="s">
        <v>58</v>
      </c>
      <c r="D37" s="69"/>
      <c r="E37" s="66" t="s">
        <v>118</v>
      </c>
      <c r="F37" s="46" t="s">
        <v>117</v>
      </c>
      <c r="G37" s="53">
        <v>45992</v>
      </c>
      <c r="H37" s="53">
        <v>45996</v>
      </c>
      <c r="I37" s="55" t="str">
        <f t="shared" si="1"/>
        <v>4 Days</v>
      </c>
      <c r="J37" s="20"/>
      <c r="K37" s="20"/>
      <c r="L37" s="20"/>
      <c r="O37" s="81" t="e">
        <f>VLOOKUP(C37,#REF!,2, 0)</f>
        <v>#REF!</v>
      </c>
    </row>
    <row r="38" spans="1:15">
      <c r="A38" s="12">
        <v>30</v>
      </c>
      <c r="B38" s="62"/>
      <c r="C38" s="50" t="s">
        <v>68</v>
      </c>
      <c r="D38" s="66"/>
      <c r="E38" s="45">
        <v>1</v>
      </c>
      <c r="F38" s="46" t="s">
        <v>49</v>
      </c>
      <c r="G38" s="53">
        <v>45992</v>
      </c>
      <c r="H38" s="53">
        <v>45996</v>
      </c>
      <c r="I38" s="55" t="str">
        <f t="shared" si="1"/>
        <v>4 Days</v>
      </c>
      <c r="J38" s="20"/>
      <c r="K38" s="20"/>
      <c r="L38" s="20"/>
      <c r="O38" s="81" t="e">
        <f>VLOOKUP(C38,#REF!,2, 0)</f>
        <v>#REF!</v>
      </c>
    </row>
    <row r="39" spans="1:15">
      <c r="A39" s="12">
        <v>31</v>
      </c>
      <c r="B39" s="69"/>
      <c r="C39" s="50" t="s">
        <v>128</v>
      </c>
      <c r="D39" s="69"/>
      <c r="E39" s="45">
        <v>1</v>
      </c>
      <c r="F39" s="46" t="s">
        <v>49</v>
      </c>
      <c r="G39" s="53">
        <v>45992</v>
      </c>
      <c r="H39" s="53">
        <v>45996</v>
      </c>
      <c r="I39" s="55" t="str">
        <f t="shared" si="1"/>
        <v>4 Days</v>
      </c>
      <c r="J39" s="20"/>
      <c r="K39" s="20"/>
      <c r="L39" s="20"/>
      <c r="O39" s="81" t="e">
        <f>VLOOKUP(C39,#REF!,2, 0)</f>
        <v>#REF!</v>
      </c>
    </row>
    <row r="40" spans="1:15">
      <c r="A40" s="12">
        <v>32</v>
      </c>
      <c r="B40" s="62"/>
      <c r="C40" s="50" t="s">
        <v>132</v>
      </c>
      <c r="D40" s="66"/>
      <c r="E40" s="45">
        <v>1</v>
      </c>
      <c r="F40" s="46" t="s">
        <v>49</v>
      </c>
      <c r="G40" s="53">
        <v>45992</v>
      </c>
      <c r="H40" s="53">
        <v>45996</v>
      </c>
      <c r="I40" s="55" t="str">
        <f t="shared" si="1"/>
        <v>4 Days</v>
      </c>
      <c r="J40" s="20"/>
      <c r="K40" s="20"/>
      <c r="L40" s="20"/>
      <c r="O40" s="81" t="e">
        <f>VLOOKUP(C40,#REF!,2, 0)</f>
        <v>#REF!</v>
      </c>
    </row>
    <row r="41" spans="1:15">
      <c r="A41" s="12">
        <v>33</v>
      </c>
      <c r="B41" s="62"/>
      <c r="C41" s="50" t="s">
        <v>133</v>
      </c>
      <c r="D41" s="66"/>
      <c r="E41" s="45">
        <v>1</v>
      </c>
      <c r="F41" s="46" t="s">
        <v>49</v>
      </c>
      <c r="G41" s="53">
        <v>45992</v>
      </c>
      <c r="H41" s="53">
        <v>45996</v>
      </c>
      <c r="I41" s="55" t="str">
        <f t="shared" si="1"/>
        <v>4 Days</v>
      </c>
      <c r="J41" s="20"/>
      <c r="K41" s="20"/>
      <c r="L41" s="20"/>
      <c r="O41" s="81" t="e">
        <f>VLOOKUP(C41,#REF!,2, 0)</f>
        <v>#REF!</v>
      </c>
    </row>
    <row r="42" spans="1:15">
      <c r="A42" s="12">
        <v>34</v>
      </c>
      <c r="B42" s="20"/>
      <c r="C42" s="50" t="s">
        <v>149</v>
      </c>
      <c r="D42" s="74" t="s">
        <v>72</v>
      </c>
      <c r="E42" s="45">
        <v>1</v>
      </c>
      <c r="F42" s="69" t="s">
        <v>117</v>
      </c>
      <c r="G42" s="53">
        <v>45993</v>
      </c>
      <c r="H42" s="53">
        <v>45996</v>
      </c>
      <c r="I42" s="55" t="str">
        <f t="shared" si="1"/>
        <v>3 Days</v>
      </c>
      <c r="J42" s="20"/>
      <c r="K42" s="20"/>
      <c r="L42" s="20"/>
      <c r="O42" s="81" t="e">
        <f>VLOOKUP(C42,#REF!,2, 0)</f>
        <v>#REF!</v>
      </c>
    </row>
    <row r="43" spans="1:15">
      <c r="A43" s="12">
        <v>35</v>
      </c>
      <c r="B43" s="62"/>
      <c r="C43" s="50" t="s">
        <v>126</v>
      </c>
      <c r="D43" s="64"/>
      <c r="E43" s="45">
        <v>1</v>
      </c>
      <c r="F43" s="46" t="s">
        <v>49</v>
      </c>
      <c r="G43" s="53">
        <v>45992</v>
      </c>
      <c r="H43" s="53">
        <v>45996</v>
      </c>
      <c r="I43" s="55" t="str">
        <f t="shared" si="1"/>
        <v>4 Days</v>
      </c>
      <c r="J43" s="20"/>
      <c r="K43" s="20"/>
      <c r="L43" s="20"/>
      <c r="O43" s="81" t="e">
        <f>VLOOKUP(C43,#REF!,2, 0)</f>
        <v>#REF!</v>
      </c>
    </row>
    <row r="44" spans="1:15">
      <c r="A44" s="12">
        <v>36</v>
      </c>
      <c r="B44" s="20"/>
      <c r="C44" s="50" t="s">
        <v>70</v>
      </c>
      <c r="D44" s="20"/>
      <c r="E44" s="45" t="s">
        <v>141</v>
      </c>
      <c r="F44" s="46" t="s">
        <v>117</v>
      </c>
      <c r="G44" s="53">
        <v>45992</v>
      </c>
      <c r="H44" s="53">
        <v>45996</v>
      </c>
      <c r="I44" s="55" t="s">
        <v>110</v>
      </c>
      <c r="J44" s="20"/>
      <c r="K44" s="20"/>
      <c r="L44" s="20"/>
      <c r="O44" s="81" t="e">
        <f>VLOOKUP(C44,#REF!,2, 0)</f>
        <v>#REF!</v>
      </c>
    </row>
    <row r="45" spans="1:15">
      <c r="A45" s="12">
        <v>37</v>
      </c>
      <c r="B45" s="69"/>
      <c r="C45" s="50" t="s">
        <v>70</v>
      </c>
      <c r="D45" s="69"/>
      <c r="E45" s="45" t="s">
        <v>142</v>
      </c>
      <c r="F45" s="46" t="s">
        <v>117</v>
      </c>
      <c r="G45" s="73">
        <v>45992</v>
      </c>
      <c r="H45" s="53">
        <v>45996</v>
      </c>
      <c r="I45" s="55" t="s">
        <v>86</v>
      </c>
      <c r="J45" s="71"/>
      <c r="K45" s="20"/>
      <c r="L45" s="20"/>
      <c r="M45" t="s">
        <v>83</v>
      </c>
      <c r="O45" s="81" t="e">
        <f>VLOOKUP(C45,#REF!,2, 0)</f>
        <v>#REF!</v>
      </c>
    </row>
    <row r="46" spans="1:15">
      <c r="A46" s="12">
        <v>38</v>
      </c>
      <c r="B46" s="20"/>
      <c r="C46" s="70" t="s">
        <v>70</v>
      </c>
      <c r="D46" s="20"/>
      <c r="E46" s="65" t="s">
        <v>143</v>
      </c>
      <c r="F46" s="46" t="s">
        <v>117</v>
      </c>
      <c r="G46" s="53">
        <v>45992</v>
      </c>
      <c r="H46" s="53">
        <v>45996</v>
      </c>
      <c r="I46" s="55" t="s">
        <v>144</v>
      </c>
      <c r="J46" s="20"/>
      <c r="K46" s="20"/>
      <c r="L46" s="20"/>
      <c r="O46" s="81" t="e">
        <f>VLOOKUP(C46,#REF!,2, 0)</f>
        <v>#REF!</v>
      </c>
    </row>
    <row r="47" spans="1:15">
      <c r="A47" s="12">
        <v>39</v>
      </c>
      <c r="B47" s="62"/>
      <c r="C47" s="70" t="s">
        <v>67</v>
      </c>
      <c r="D47" s="66"/>
      <c r="E47" s="65">
        <v>1</v>
      </c>
      <c r="F47" s="46" t="s">
        <v>111</v>
      </c>
      <c r="G47" s="67">
        <v>45992</v>
      </c>
      <c r="H47" s="53">
        <v>45996</v>
      </c>
      <c r="I47" s="55" t="str">
        <f t="shared" ref="I47:I54" si="2">DATEDIF(G47, H47, "D")  &amp; " Days"</f>
        <v>4 Days</v>
      </c>
      <c r="J47" s="71"/>
      <c r="K47" s="20"/>
      <c r="L47" s="20"/>
      <c r="O47" s="81" t="e">
        <f>VLOOKUP(C47,#REF!,2, 0)</f>
        <v>#REF!</v>
      </c>
    </row>
    <row r="48" spans="1:15">
      <c r="A48" s="12">
        <v>40</v>
      </c>
      <c r="B48" s="20"/>
      <c r="C48" s="69" t="s">
        <v>51</v>
      </c>
      <c r="D48" s="69"/>
      <c r="E48" s="66">
        <v>1</v>
      </c>
      <c r="F48" s="46" t="s">
        <v>117</v>
      </c>
      <c r="G48" s="53">
        <v>45992</v>
      </c>
      <c r="H48" s="53">
        <v>45996</v>
      </c>
      <c r="I48" s="55" t="str">
        <f t="shared" si="2"/>
        <v>4 Days</v>
      </c>
      <c r="J48" s="71"/>
      <c r="K48" s="20"/>
      <c r="L48" s="20"/>
      <c r="O48" s="81" t="e">
        <f>VLOOKUP(C48,#REF!,2, 0)</f>
        <v>#REF!</v>
      </c>
    </row>
    <row r="49" spans="1:15">
      <c r="A49" s="12">
        <v>41</v>
      </c>
      <c r="B49" s="20"/>
      <c r="C49" s="50" t="s">
        <v>153</v>
      </c>
      <c r="D49" s="69"/>
      <c r="E49" s="65">
        <v>1</v>
      </c>
      <c r="F49" s="46" t="s">
        <v>92</v>
      </c>
      <c r="G49" s="53">
        <v>45989</v>
      </c>
      <c r="H49" s="53">
        <v>45996</v>
      </c>
      <c r="I49" s="55" t="str">
        <f t="shared" si="2"/>
        <v>7 Days</v>
      </c>
      <c r="J49" s="20"/>
      <c r="K49" s="20"/>
      <c r="L49" s="20"/>
      <c r="O49" s="81" t="e">
        <f>VLOOKUP(C49,#REF!,2, 0)</f>
        <v>#REF!</v>
      </c>
    </row>
    <row r="50" spans="1:15">
      <c r="A50" s="12">
        <v>42</v>
      </c>
      <c r="B50" s="49"/>
      <c r="C50" s="69" t="s">
        <v>116</v>
      </c>
      <c r="D50" s="20"/>
      <c r="E50" s="66">
        <v>1</v>
      </c>
      <c r="F50" s="46" t="s">
        <v>115</v>
      </c>
      <c r="G50" s="53">
        <v>45992</v>
      </c>
      <c r="H50" s="53">
        <v>45997</v>
      </c>
      <c r="I50" s="55" t="str">
        <f t="shared" si="2"/>
        <v>5 Days</v>
      </c>
      <c r="J50" s="20"/>
      <c r="K50" s="20"/>
      <c r="L50" s="20"/>
      <c r="O50" s="81" t="e">
        <f>VLOOKUP(C50,#REF!,2, 0)</f>
        <v>#REF!</v>
      </c>
    </row>
    <row r="51" spans="1:15">
      <c r="A51" s="12">
        <v>43</v>
      </c>
      <c r="B51" s="49"/>
      <c r="C51" s="70" t="s">
        <v>64</v>
      </c>
      <c r="D51" s="66"/>
      <c r="E51" s="66">
        <v>1</v>
      </c>
      <c r="F51" s="46" t="s">
        <v>114</v>
      </c>
      <c r="G51" s="53">
        <v>45992</v>
      </c>
      <c r="H51" s="53">
        <v>45996</v>
      </c>
      <c r="I51" s="55" t="str">
        <f t="shared" si="2"/>
        <v>4 Days</v>
      </c>
      <c r="J51" s="20"/>
      <c r="K51" s="20"/>
      <c r="L51" s="20"/>
      <c r="O51" s="81" t="e">
        <f>VLOOKUP(C51,#REF!,2, 0)</f>
        <v>#REF!</v>
      </c>
    </row>
    <row r="52" spans="1:15">
      <c r="A52" s="12">
        <v>44</v>
      </c>
      <c r="B52" s="69"/>
      <c r="C52" s="50"/>
      <c r="D52" s="66"/>
      <c r="E52" s="66">
        <v>2</v>
      </c>
      <c r="F52" s="66" t="s">
        <v>114</v>
      </c>
      <c r="G52" s="53">
        <v>45992</v>
      </c>
      <c r="H52" s="53">
        <v>45996</v>
      </c>
      <c r="I52" s="55" t="str">
        <f t="shared" si="2"/>
        <v>4 Days</v>
      </c>
      <c r="J52" s="20"/>
      <c r="K52" s="20"/>
      <c r="L52" s="20"/>
      <c r="O52" s="81" t="e">
        <f>VLOOKUP(C52,#REF!,2, 0)</f>
        <v>#REF!</v>
      </c>
    </row>
    <row r="53" spans="1:15">
      <c r="A53" s="12">
        <v>45</v>
      </c>
      <c r="B53" s="20"/>
      <c r="C53" s="50" t="s">
        <v>134</v>
      </c>
      <c r="D53" s="69"/>
      <c r="E53" s="65">
        <v>1</v>
      </c>
      <c r="F53" s="66" t="s">
        <v>49</v>
      </c>
      <c r="G53" s="53">
        <v>45992</v>
      </c>
      <c r="H53" s="53">
        <v>45996</v>
      </c>
      <c r="I53" s="55" t="str">
        <f t="shared" si="2"/>
        <v>4 Days</v>
      </c>
      <c r="J53" s="20"/>
      <c r="K53" s="20"/>
      <c r="L53" s="20"/>
      <c r="O53" s="81" t="e">
        <f>VLOOKUP(C53,#REF!,2, 0)</f>
        <v>#REF!</v>
      </c>
    </row>
    <row r="54" spans="1:15">
      <c r="A54" s="12">
        <v>46</v>
      </c>
      <c r="B54" s="20"/>
      <c r="C54" s="50" t="s">
        <v>66</v>
      </c>
      <c r="D54" s="74" t="s">
        <v>72</v>
      </c>
      <c r="E54" s="66">
        <v>1</v>
      </c>
      <c r="F54" s="66" t="s">
        <v>111</v>
      </c>
      <c r="G54" s="53">
        <v>45992</v>
      </c>
      <c r="H54" s="73">
        <v>45996</v>
      </c>
      <c r="I54" s="76" t="str">
        <f t="shared" si="2"/>
        <v>4 Days</v>
      </c>
      <c r="J54" s="20"/>
      <c r="K54" s="20"/>
      <c r="L54" s="20"/>
      <c r="O54" s="81" t="e">
        <f>VLOOKUP(C54,#REF!,2, 0)</f>
        <v>#REF!</v>
      </c>
    </row>
    <row r="55" spans="1:15">
      <c r="A55" s="12">
        <v>47</v>
      </c>
      <c r="B55" s="20"/>
      <c r="C55" s="70" t="s">
        <v>67</v>
      </c>
      <c r="D55" s="69"/>
      <c r="E55" s="65">
        <v>1</v>
      </c>
      <c r="F55" s="66" t="s">
        <v>92</v>
      </c>
      <c r="G55" s="73">
        <v>45989</v>
      </c>
      <c r="H55" s="73">
        <v>45996</v>
      </c>
      <c r="I55" s="76" t="s">
        <v>131</v>
      </c>
      <c r="J55" s="20"/>
      <c r="K55" s="20"/>
      <c r="L55" s="20"/>
      <c r="O55" s="81" t="e">
        <f>VLOOKUP(C55,#REF!,2, 0)</f>
        <v>#REF!</v>
      </c>
    </row>
    <row r="56" spans="1:15">
      <c r="A56" s="12">
        <v>48</v>
      </c>
      <c r="B56" s="20"/>
      <c r="C56" s="70" t="s">
        <v>67</v>
      </c>
      <c r="D56" s="20"/>
      <c r="E56" s="65">
        <v>2</v>
      </c>
      <c r="F56" s="66" t="s">
        <v>92</v>
      </c>
      <c r="G56" s="73">
        <v>45989</v>
      </c>
      <c r="H56" s="73">
        <v>45996</v>
      </c>
      <c r="I56" s="76" t="s">
        <v>131</v>
      </c>
      <c r="J56" s="20"/>
      <c r="K56" s="20"/>
      <c r="L56" s="20"/>
      <c r="O56" s="81" t="e">
        <f>VLOOKUP(C56,#REF!,2, 0)</f>
        <v>#REF!</v>
      </c>
    </row>
    <row r="57" spans="1:15">
      <c r="A57" s="12">
        <v>49</v>
      </c>
      <c r="B57" s="69"/>
      <c r="C57" s="70" t="s">
        <v>140</v>
      </c>
      <c r="D57" s="20"/>
      <c r="E57" s="65">
        <v>1</v>
      </c>
      <c r="F57" s="66" t="s">
        <v>49</v>
      </c>
      <c r="G57" s="73">
        <v>45992</v>
      </c>
      <c r="H57" s="73">
        <v>45996</v>
      </c>
      <c r="I57" s="76" t="str">
        <f>DATEDIF(G57, H57, "D")  &amp; " Days"</f>
        <v>4 Days</v>
      </c>
      <c r="J57" s="20"/>
      <c r="K57" s="20"/>
      <c r="L57" s="20"/>
      <c r="O57" s="81" t="e">
        <f>VLOOKUP(C57,#REF!,2, 0)</f>
        <v>#REF!</v>
      </c>
    </row>
    <row r="58" spans="1:15">
      <c r="A58" s="12">
        <v>50</v>
      </c>
      <c r="B58" s="20"/>
      <c r="C58" s="50"/>
      <c r="D58" s="20"/>
      <c r="E58" s="20"/>
      <c r="F58" s="20"/>
      <c r="G58" s="20"/>
      <c r="H58" s="20"/>
      <c r="I58" s="20"/>
      <c r="J58" s="20"/>
      <c r="K58" s="20"/>
      <c r="L58" s="20"/>
    </row>
    <row r="59" spans="1:15">
      <c r="A59" s="12">
        <v>51</v>
      </c>
      <c r="B59" s="20"/>
      <c r="C59" s="50"/>
      <c r="D59" s="20"/>
      <c r="E59" s="20"/>
      <c r="F59" s="20"/>
      <c r="G59" s="20"/>
      <c r="H59" s="20"/>
      <c r="I59" s="20"/>
      <c r="J59" s="20"/>
      <c r="K59" s="20"/>
      <c r="L59" s="20"/>
    </row>
    <row r="60" spans="1:15">
      <c r="A60" s="12">
        <v>52</v>
      </c>
      <c r="B60" s="20"/>
      <c r="C60" s="50"/>
      <c r="D60" s="20"/>
      <c r="E60" s="20"/>
      <c r="F60" s="20"/>
      <c r="G60" s="20"/>
      <c r="H60" s="20"/>
      <c r="I60" s="20"/>
      <c r="J60" s="20"/>
      <c r="K60" s="20"/>
      <c r="L60" s="20"/>
    </row>
    <row r="61" spans="1:15">
      <c r="A61" s="12">
        <v>53</v>
      </c>
      <c r="B61" s="20"/>
      <c r="C61" s="50"/>
      <c r="D61" s="20"/>
      <c r="E61" s="20"/>
      <c r="F61" s="20"/>
      <c r="G61" s="20"/>
      <c r="H61" s="20"/>
      <c r="I61" s="20"/>
      <c r="J61" s="20"/>
      <c r="K61" s="20"/>
      <c r="L61" s="20"/>
    </row>
    <row r="62" spans="1:15">
      <c r="A62" s="12">
        <v>54</v>
      </c>
      <c r="B62" s="20"/>
      <c r="C62" s="50"/>
      <c r="D62" s="20"/>
      <c r="E62" s="20"/>
      <c r="F62" s="20"/>
      <c r="G62" s="20"/>
      <c r="H62" s="20"/>
      <c r="I62" s="20"/>
      <c r="J62" s="20"/>
      <c r="K62" s="20"/>
      <c r="L62" s="20"/>
    </row>
    <row r="63" spans="1:15">
      <c r="A63" s="12">
        <v>55</v>
      </c>
      <c r="B63" s="20"/>
      <c r="C63" s="50"/>
      <c r="D63" s="20"/>
      <c r="E63" s="20"/>
      <c r="F63" s="20"/>
      <c r="G63" s="20"/>
      <c r="H63" s="20"/>
      <c r="I63" s="20"/>
      <c r="J63" s="20"/>
      <c r="K63" s="20"/>
      <c r="L63" s="20"/>
    </row>
    <row r="64" spans="1:15">
      <c r="A64" s="12">
        <v>56</v>
      </c>
      <c r="B64" s="20"/>
      <c r="C64" s="5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5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5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43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2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17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2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17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5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2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1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1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1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1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1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1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1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48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1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>
        <f t="array" ref="B247">IFERROR(INDEX($B$9:$B$100, SMALL(IF(ISNUMBER(MATCH($C$9:$C$100, {"BSCE","BSCHEM","BSFT","BS-Arch","SHS-STEM"}, 0)), ROW($B$9:$B$100)-ROW($B$9)+1), ROW(A1))), "")</f>
        <v>0</v>
      </c>
      <c r="C247" s="20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>0</v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>0</v>
      </c>
      <c r="F247" s="20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>0</v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64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70A59BD7-937D-4230-81B3-63E67C1AFD41}">
          <x14:formula1>
            <xm:f>#REF!</xm:f>
          </x14:formula1>
          <xm:sqref>C9:C100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2C65-D760-4F23-A9F2-2AA39AA1937E}">
  <sheetPr codeName="Sheet20">
    <tabColor rgb="FFFF0000"/>
  </sheetPr>
  <dimension ref="A1:L258"/>
  <sheetViews>
    <sheetView zoomScale="98" zoomScaleNormal="45" workbookViewId="0">
      <selection activeCell="J242" sqref="J242"/>
    </sheetView>
  </sheetViews>
  <sheetFormatPr defaultRowHeight="14.25"/>
  <cols>
    <col min="1" max="1" width="4.125" customWidth="1"/>
    <col min="2" max="2" width="23.375" customWidth="1"/>
    <col min="3" max="3" width="10" customWidth="1"/>
    <col min="4" max="4" width="8.125" customWidth="1"/>
    <col min="5" max="5" width="7.75" customWidth="1"/>
    <col min="6" max="7" width="14.125" customWidth="1"/>
    <col min="8" max="8" width="10.625" customWidth="1"/>
    <col min="9" max="9" width="8.125" customWidth="1"/>
  </cols>
  <sheetData>
    <row r="1" spans="1:12" ht="22.5">
      <c r="A1" s="115">
        <v>45997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/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105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7"/>
      <c r="E9" s="16"/>
      <c r="F9" s="17"/>
      <c r="G9" s="18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17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12"/>
      <c r="C11" s="21"/>
      <c r="D11" s="17"/>
      <c r="E11" s="16"/>
      <c r="F11" s="17"/>
      <c r="G11" s="18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17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17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17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17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17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17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17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17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17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17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17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17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17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17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17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17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17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17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17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17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17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37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37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37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37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37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10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10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  <c r="J242" s="58"/>
    </row>
    <row r="243" spans="2:10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10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10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10">
      <c r="B248" s="20"/>
      <c r="C248" s="20"/>
      <c r="D248" s="20"/>
      <c r="E248" s="20"/>
      <c r="F248" s="20"/>
    </row>
    <row r="249" spans="2:10">
      <c r="B249" s="20"/>
      <c r="C249" s="20"/>
      <c r="D249" s="20"/>
      <c r="E249" s="20"/>
      <c r="F249" s="20"/>
    </row>
    <row r="250" spans="2:10">
      <c r="B250" s="20"/>
      <c r="C250" s="20"/>
      <c r="D250" s="20"/>
      <c r="E250" s="20"/>
      <c r="F250" s="20"/>
    </row>
    <row r="251" spans="2:10">
      <c r="B251" s="20"/>
      <c r="C251" s="20"/>
      <c r="D251" s="20"/>
      <c r="E251" s="20"/>
      <c r="F251" s="20"/>
    </row>
    <row r="252" spans="2:10">
      <c r="B252" s="20"/>
      <c r="C252" s="20"/>
      <c r="D252" s="20"/>
      <c r="E252" s="20"/>
      <c r="F252" s="20"/>
    </row>
    <row r="253" spans="2:10">
      <c r="B253" s="20"/>
      <c r="C253" s="20"/>
      <c r="D253" s="20"/>
      <c r="E253" s="20"/>
      <c r="F253" s="20"/>
    </row>
    <row r="254" spans="2:10">
      <c r="B254" s="20"/>
      <c r="C254" s="20"/>
      <c r="D254" s="20"/>
      <c r="E254" s="20"/>
      <c r="F254" s="20"/>
    </row>
    <row r="255" spans="2:10">
      <c r="B255" s="20"/>
      <c r="C255" s="20"/>
      <c r="D255" s="20"/>
      <c r="E255" s="20"/>
      <c r="F255" s="20"/>
    </row>
    <row r="256" spans="2:10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F634F266-33DE-4560-ABFD-7A7C6E1345B3}">
          <x14:formula1>
            <xm:f>#REF!</xm:f>
          </x14:formula1>
          <xm:sqref>C9:C100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C01B5-256E-473B-88E0-54C7B6B80F85}">
  <sheetPr codeName="Sheet17">
    <tabColor rgb="FFFF0000"/>
  </sheetPr>
  <dimension ref="A1:L258"/>
  <sheetViews>
    <sheetView zoomScale="98" zoomScaleNormal="45" workbookViewId="0">
      <selection activeCell="J242" sqref="J242"/>
    </sheetView>
  </sheetViews>
  <sheetFormatPr defaultRowHeight="14.25"/>
  <cols>
    <col min="1" max="1" width="4.125" customWidth="1"/>
    <col min="2" max="2" width="23.375" customWidth="1"/>
    <col min="3" max="3" width="10" customWidth="1"/>
    <col min="4" max="4" width="8.125" customWidth="1"/>
    <col min="5" max="5" width="7.75" customWidth="1"/>
    <col min="6" max="7" width="14.125" customWidth="1"/>
    <col min="8" max="8" width="10.625" customWidth="1"/>
    <col min="9" max="9" width="8.125" customWidth="1"/>
  </cols>
  <sheetData>
    <row r="1" spans="1:12" ht="22.5">
      <c r="A1" s="115">
        <v>45998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/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105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39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39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12"/>
      <c r="C13" s="14"/>
      <c r="D13" s="15"/>
      <c r="E13" s="16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39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39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6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12"/>
      <c r="C21" s="21"/>
      <c r="D21" s="17"/>
      <c r="E21" s="16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39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39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12"/>
      <c r="C25" s="21"/>
      <c r="D25" s="17"/>
      <c r="E25" s="16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39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20"/>
      <c r="C33" s="20"/>
      <c r="D33" s="20"/>
      <c r="E33" s="17"/>
      <c r="F33" s="17"/>
      <c r="G33" s="37"/>
      <c r="H33" s="37"/>
      <c r="I33" s="20"/>
      <c r="J33" s="20"/>
      <c r="K33" s="20"/>
      <c r="L33" s="20"/>
    </row>
    <row r="34" spans="1:12">
      <c r="A34" s="12">
        <v>26</v>
      </c>
      <c r="B34" s="12"/>
      <c r="C34" s="21"/>
      <c r="D34" s="17"/>
      <c r="E34" s="16"/>
      <c r="F34" s="17"/>
      <c r="G34" s="37"/>
      <c r="H34" s="37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37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37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37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E88FED90-84BD-4323-831D-71A18903B5C8}">
          <x14:formula1>
            <xm:f>#REF!</xm:f>
          </x14:formula1>
          <xm:sqref>C9:C100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L258"/>
  <sheetViews>
    <sheetView zoomScale="98" zoomScaleNormal="45" workbookViewId="0">
      <selection activeCell="J31" sqref="J31"/>
    </sheetView>
  </sheetViews>
  <sheetFormatPr defaultRowHeight="14.25"/>
  <cols>
    <col min="1" max="1" width="4.125" customWidth="1"/>
    <col min="2" max="2" width="23.375" customWidth="1"/>
    <col min="3" max="3" width="10.5" customWidth="1"/>
    <col min="4" max="4" width="9.375" customWidth="1"/>
    <col min="5" max="5" width="7.125" customWidth="1"/>
    <col min="6" max="6" width="13.125" customWidth="1"/>
    <col min="7" max="7" width="12.125" customWidth="1"/>
    <col min="8" max="8" width="11" customWidth="1"/>
    <col min="9" max="9" width="9.875" customWidth="1"/>
  </cols>
  <sheetData>
    <row r="1" spans="1:12" ht="22.5">
      <c r="A1" s="115">
        <v>45999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6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23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9E3D86EC-DB7A-43E8-A297-B7BFEAAC0518}">
          <x14:formula1>
            <xm:f>#REF!</xm:f>
          </x14:formula1>
          <xm:sqref>C9:C100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D051B-8B50-4FFB-BF6A-F9CBF83BD596}">
  <sheetPr codeName="Sheet21"/>
  <dimension ref="A1:S1048242"/>
  <sheetViews>
    <sheetView topLeftCell="A50" zoomScale="98" zoomScaleNormal="45" workbookViewId="0">
      <selection activeCell="K64" sqref="K64"/>
    </sheetView>
  </sheetViews>
  <sheetFormatPr defaultRowHeight="14.25"/>
  <cols>
    <col min="1" max="1" width="4.125" customWidth="1"/>
    <col min="2" max="2" width="23.375" customWidth="1"/>
    <col min="3" max="3" width="10.5" customWidth="1"/>
    <col min="4" max="4" width="9.375" customWidth="1"/>
    <col min="5" max="5" width="7.125" customWidth="1"/>
    <col min="6" max="6" width="13.125" customWidth="1"/>
    <col min="7" max="7" width="12.125" customWidth="1"/>
    <col min="8" max="8" width="11" customWidth="1"/>
    <col min="9" max="9" width="9.875" customWidth="1"/>
  </cols>
  <sheetData>
    <row r="1" spans="1:19" ht="22.5">
      <c r="A1" s="115">
        <v>46000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9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9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9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9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9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9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9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9">
      <c r="A9" s="12">
        <v>1</v>
      </c>
      <c r="B9" s="20"/>
      <c r="C9" s="20"/>
      <c r="D9" s="20"/>
      <c r="E9" s="17">
        <v>1</v>
      </c>
      <c r="F9" s="17" t="s">
        <v>122</v>
      </c>
      <c r="G9" s="37">
        <v>45992</v>
      </c>
      <c r="H9" s="37">
        <v>46000</v>
      </c>
      <c r="I9" s="55" t="s">
        <v>131</v>
      </c>
      <c r="J9" s="71"/>
      <c r="K9" s="49"/>
      <c r="L9" s="49"/>
      <c r="M9" s="43"/>
      <c r="N9" s="43"/>
      <c r="O9" s="81"/>
      <c r="P9" s="43"/>
      <c r="Q9" s="43"/>
      <c r="R9" s="43"/>
      <c r="S9" s="43"/>
    </row>
    <row r="10" spans="1:19">
      <c r="A10" s="12">
        <v>2</v>
      </c>
      <c r="B10" s="49"/>
      <c r="C10" s="49"/>
      <c r="D10" s="49"/>
      <c r="E10" s="46">
        <v>1</v>
      </c>
      <c r="F10" s="46" t="s">
        <v>130</v>
      </c>
      <c r="G10" s="53">
        <v>45992</v>
      </c>
      <c r="H10" s="53">
        <v>46000</v>
      </c>
      <c r="I10" s="55" t="s">
        <v>131</v>
      </c>
      <c r="J10" s="51"/>
      <c r="K10" s="52"/>
      <c r="L10" s="52"/>
      <c r="M10" s="43"/>
      <c r="N10" s="43"/>
      <c r="O10" s="81"/>
      <c r="P10" s="43"/>
      <c r="Q10" s="43"/>
      <c r="R10" s="43"/>
      <c r="S10" s="43"/>
    </row>
    <row r="11" spans="1:19">
      <c r="A11" s="12">
        <v>3</v>
      </c>
      <c r="B11" s="49"/>
      <c r="C11" s="49"/>
      <c r="D11" s="49"/>
      <c r="E11" s="46">
        <v>2</v>
      </c>
      <c r="F11" s="46" t="s">
        <v>130</v>
      </c>
      <c r="G11" s="53">
        <v>45992</v>
      </c>
      <c r="H11" s="53">
        <v>46000</v>
      </c>
      <c r="I11" s="55" t="s">
        <v>131</v>
      </c>
      <c r="J11" s="71"/>
      <c r="K11" s="49"/>
      <c r="L11" s="49"/>
      <c r="M11" s="43"/>
      <c r="N11" s="43"/>
      <c r="O11" s="81"/>
      <c r="P11" s="43"/>
      <c r="Q11" s="43"/>
      <c r="R11" s="43"/>
      <c r="S11" s="43"/>
    </row>
    <row r="12" spans="1:19">
      <c r="A12" s="12">
        <v>4</v>
      </c>
      <c r="B12" s="49"/>
      <c r="C12" s="49"/>
      <c r="D12" s="49"/>
      <c r="E12" s="46" t="s">
        <v>102</v>
      </c>
      <c r="F12" s="46" t="s">
        <v>130</v>
      </c>
      <c r="G12" s="53">
        <v>45992</v>
      </c>
      <c r="H12" s="53">
        <v>46000</v>
      </c>
      <c r="I12" s="55" t="s">
        <v>131</v>
      </c>
      <c r="J12" s="49"/>
      <c r="K12" s="49"/>
      <c r="L12" s="49"/>
      <c r="M12" s="43"/>
      <c r="N12" s="43"/>
      <c r="O12" s="81"/>
      <c r="P12" s="43"/>
      <c r="Q12" s="43"/>
      <c r="R12" s="43"/>
      <c r="S12" s="43"/>
    </row>
    <row r="13" spans="1:19">
      <c r="A13" s="12">
        <v>5</v>
      </c>
      <c r="B13" s="49"/>
      <c r="C13" s="49"/>
      <c r="D13" s="49"/>
      <c r="E13" s="46" t="s">
        <v>98</v>
      </c>
      <c r="F13" s="46" t="s">
        <v>130</v>
      </c>
      <c r="G13" s="53">
        <v>45992</v>
      </c>
      <c r="H13" s="53">
        <v>46000</v>
      </c>
      <c r="I13" s="55" t="s">
        <v>131</v>
      </c>
      <c r="J13" s="60"/>
      <c r="K13" s="52"/>
      <c r="L13" s="52"/>
      <c r="M13" s="43"/>
      <c r="N13" s="43"/>
      <c r="O13" s="81"/>
      <c r="P13" s="43"/>
      <c r="Q13" s="43"/>
      <c r="R13" s="43"/>
      <c r="S13" s="43"/>
    </row>
    <row r="14" spans="1:19">
      <c r="A14" s="12">
        <v>6</v>
      </c>
      <c r="B14" s="49"/>
      <c r="C14" s="49"/>
      <c r="D14" s="49"/>
      <c r="E14" s="46" t="s">
        <v>129</v>
      </c>
      <c r="F14" s="46" t="s">
        <v>130</v>
      </c>
      <c r="G14" s="53">
        <v>45992</v>
      </c>
      <c r="H14" s="53">
        <v>46000</v>
      </c>
      <c r="I14" s="55" t="s">
        <v>131</v>
      </c>
      <c r="J14" s="71"/>
      <c r="K14" s="23"/>
      <c r="L14" s="23"/>
      <c r="O14" s="81"/>
    </row>
    <row r="15" spans="1:19">
      <c r="A15" s="12">
        <v>7</v>
      </c>
      <c r="B15" s="62"/>
      <c r="C15" s="70"/>
      <c r="D15" s="74"/>
      <c r="E15" s="65">
        <v>1</v>
      </c>
      <c r="F15" s="46" t="s">
        <v>71</v>
      </c>
      <c r="G15" s="53">
        <v>45993</v>
      </c>
      <c r="H15" s="53">
        <v>46000</v>
      </c>
      <c r="I15" s="68" t="s">
        <v>145</v>
      </c>
      <c r="J15" s="69"/>
      <c r="K15" s="20"/>
      <c r="L15" s="20"/>
      <c r="O15" s="81"/>
    </row>
    <row r="16" spans="1:19">
      <c r="A16" s="12">
        <v>8</v>
      </c>
      <c r="B16" s="62"/>
      <c r="C16" s="63"/>
      <c r="D16" s="74"/>
      <c r="E16" s="65">
        <v>1</v>
      </c>
      <c r="F16" s="46" t="s">
        <v>71</v>
      </c>
      <c r="G16" s="53">
        <v>45993</v>
      </c>
      <c r="H16" s="53">
        <v>46000</v>
      </c>
      <c r="I16" s="68" t="s">
        <v>145</v>
      </c>
      <c r="J16" s="69"/>
      <c r="K16" s="23"/>
      <c r="L16" s="23"/>
      <c r="O16" s="81"/>
    </row>
    <row r="17" spans="1:15">
      <c r="A17" s="12">
        <v>9</v>
      </c>
      <c r="B17" s="49"/>
      <c r="C17" s="49"/>
      <c r="D17" s="49"/>
      <c r="E17" s="46">
        <v>1</v>
      </c>
      <c r="F17" s="46" t="s">
        <v>75</v>
      </c>
      <c r="G17" s="53">
        <v>45992</v>
      </c>
      <c r="H17" s="53">
        <v>46000</v>
      </c>
      <c r="I17" s="55" t="s">
        <v>131</v>
      </c>
      <c r="J17" s="22"/>
      <c r="K17" s="23"/>
      <c r="L17" s="23"/>
      <c r="O17" s="81"/>
    </row>
    <row r="18" spans="1:15">
      <c r="A18" s="12">
        <v>10</v>
      </c>
      <c r="B18" s="62"/>
      <c r="C18" s="70"/>
      <c r="D18" s="74"/>
      <c r="E18" s="46">
        <v>1</v>
      </c>
      <c r="F18" s="46" t="s">
        <v>115</v>
      </c>
      <c r="G18" s="53">
        <v>45993</v>
      </c>
      <c r="H18" s="53">
        <v>46000</v>
      </c>
      <c r="I18" s="68" t="s">
        <v>86</v>
      </c>
      <c r="J18" s="20"/>
      <c r="K18" s="20"/>
      <c r="L18" s="20"/>
      <c r="O18" s="81"/>
    </row>
    <row r="19" spans="1:15">
      <c r="A19" s="12">
        <v>11</v>
      </c>
      <c r="B19" s="49"/>
      <c r="C19" s="49"/>
      <c r="D19" s="69"/>
      <c r="E19" s="46">
        <v>1</v>
      </c>
      <c r="F19" s="46" t="s">
        <v>92</v>
      </c>
      <c r="G19" s="53">
        <v>45994</v>
      </c>
      <c r="H19" s="53">
        <v>46000</v>
      </c>
      <c r="I19" s="68" t="s">
        <v>110</v>
      </c>
      <c r="J19" s="69"/>
      <c r="K19" s="20"/>
      <c r="L19" s="20"/>
      <c r="O19" s="81"/>
    </row>
    <row r="20" spans="1:15">
      <c r="A20" s="12">
        <v>12</v>
      </c>
      <c r="B20" s="49"/>
      <c r="C20" s="49"/>
      <c r="D20" s="74"/>
      <c r="E20" s="46">
        <v>1</v>
      </c>
      <c r="F20" s="46" t="s">
        <v>115</v>
      </c>
      <c r="G20" s="53">
        <v>45992</v>
      </c>
      <c r="H20" s="53">
        <v>46000</v>
      </c>
      <c r="I20" s="55" t="s">
        <v>131</v>
      </c>
      <c r="J20" s="22"/>
      <c r="K20" s="23"/>
      <c r="L20" s="23"/>
      <c r="O20" s="81"/>
    </row>
    <row r="21" spans="1:15">
      <c r="A21" s="12">
        <v>13</v>
      </c>
      <c r="B21" s="69"/>
      <c r="C21" s="69"/>
      <c r="D21" s="74"/>
      <c r="E21" s="46">
        <v>1</v>
      </c>
      <c r="F21" s="46" t="s">
        <v>115</v>
      </c>
      <c r="G21" s="53">
        <v>45992</v>
      </c>
      <c r="H21" s="53">
        <v>46000</v>
      </c>
      <c r="I21" s="76" t="s">
        <v>131</v>
      </c>
      <c r="J21" s="69"/>
      <c r="K21" s="23"/>
      <c r="L21" s="23"/>
      <c r="O21" s="81"/>
    </row>
    <row r="22" spans="1:15">
      <c r="A22" s="12">
        <v>14</v>
      </c>
      <c r="B22" s="49"/>
      <c r="C22" s="49"/>
      <c r="D22" s="49"/>
      <c r="E22" s="46">
        <v>1</v>
      </c>
      <c r="F22" s="46" t="s">
        <v>115</v>
      </c>
      <c r="G22" s="53">
        <v>45992</v>
      </c>
      <c r="H22" s="53">
        <v>46000</v>
      </c>
      <c r="I22" s="55" t="s">
        <v>131</v>
      </c>
      <c r="J22" s="71"/>
      <c r="K22" s="20"/>
      <c r="L22" s="20"/>
      <c r="O22" s="81"/>
    </row>
    <row r="23" spans="1:15">
      <c r="A23" s="12">
        <v>15</v>
      </c>
      <c r="B23" s="69"/>
      <c r="C23" s="69"/>
      <c r="D23" s="69"/>
      <c r="E23" s="66" t="s">
        <v>142</v>
      </c>
      <c r="F23" s="69" t="s">
        <v>163</v>
      </c>
      <c r="G23" s="73">
        <v>45994</v>
      </c>
      <c r="H23" s="73">
        <v>46000</v>
      </c>
      <c r="I23" s="68" t="s">
        <v>110</v>
      </c>
      <c r="J23" s="20"/>
      <c r="K23" s="20"/>
      <c r="L23" s="20"/>
      <c r="O23" s="81"/>
    </row>
    <row r="24" spans="1:15">
      <c r="A24" s="12">
        <v>16</v>
      </c>
      <c r="B24" s="62"/>
      <c r="C24" s="70"/>
      <c r="D24" s="66"/>
      <c r="E24" s="17">
        <v>1</v>
      </c>
      <c r="F24" s="17" t="s">
        <v>75</v>
      </c>
      <c r="G24" s="53">
        <v>45993</v>
      </c>
      <c r="H24" s="53">
        <v>46000</v>
      </c>
      <c r="I24" s="68" t="s">
        <v>145</v>
      </c>
      <c r="J24" s="69"/>
      <c r="K24" s="69"/>
      <c r="L24" s="23"/>
      <c r="O24" s="81"/>
    </row>
    <row r="25" spans="1:15">
      <c r="A25" s="12">
        <v>17</v>
      </c>
      <c r="B25" s="69"/>
      <c r="C25" s="69"/>
      <c r="D25" s="69"/>
      <c r="E25" s="66">
        <v>1</v>
      </c>
      <c r="F25" s="17" t="s">
        <v>115</v>
      </c>
      <c r="G25" s="53">
        <v>45992</v>
      </c>
      <c r="H25" s="53">
        <v>46000</v>
      </c>
      <c r="I25" s="76" t="s">
        <v>131</v>
      </c>
      <c r="J25" s="69"/>
      <c r="K25" s="23"/>
      <c r="L25" s="23"/>
      <c r="O25" s="81"/>
    </row>
    <row r="26" spans="1:15">
      <c r="A26" s="12">
        <v>18</v>
      </c>
      <c r="B26" s="62"/>
      <c r="C26" s="63"/>
      <c r="D26" s="74"/>
      <c r="E26" s="65">
        <v>1</v>
      </c>
      <c r="F26" s="46" t="s">
        <v>115</v>
      </c>
      <c r="G26" s="53">
        <v>45993</v>
      </c>
      <c r="H26" s="53">
        <v>46000</v>
      </c>
      <c r="I26" s="68" t="s">
        <v>145</v>
      </c>
      <c r="J26" s="69"/>
      <c r="K26" s="23"/>
      <c r="L26" s="23"/>
      <c r="O26" s="81"/>
    </row>
    <row r="27" spans="1:15">
      <c r="A27" s="12">
        <v>19</v>
      </c>
      <c r="B27" s="49"/>
      <c r="C27" s="49"/>
      <c r="D27" s="20"/>
      <c r="E27" s="17">
        <v>7</v>
      </c>
      <c r="F27" s="46" t="s">
        <v>73</v>
      </c>
      <c r="G27" s="53">
        <v>45992</v>
      </c>
      <c r="H27" s="53">
        <v>46000</v>
      </c>
      <c r="I27" s="76" t="s">
        <v>131</v>
      </c>
      <c r="J27" s="71"/>
      <c r="K27" s="72"/>
      <c r="L27" s="20"/>
      <c r="O27" s="81"/>
    </row>
    <row r="28" spans="1:15">
      <c r="A28" s="12">
        <v>20</v>
      </c>
      <c r="B28" s="69"/>
      <c r="C28" s="69"/>
      <c r="D28" s="69"/>
      <c r="E28" s="66">
        <v>1</v>
      </c>
      <c r="F28" s="46" t="s">
        <v>115</v>
      </c>
      <c r="G28" s="73">
        <v>45993</v>
      </c>
      <c r="H28" s="73">
        <v>46000</v>
      </c>
      <c r="I28" s="68" t="s">
        <v>145</v>
      </c>
      <c r="J28" s="69"/>
      <c r="K28" s="69"/>
      <c r="L28" s="23"/>
      <c r="O28" s="81"/>
    </row>
    <row r="29" spans="1:15">
      <c r="A29" s="12">
        <v>21</v>
      </c>
      <c r="B29" s="62"/>
      <c r="C29" s="49"/>
      <c r="D29" s="66"/>
      <c r="E29" s="17">
        <v>1</v>
      </c>
      <c r="F29" s="46" t="s">
        <v>115</v>
      </c>
      <c r="G29" s="53">
        <v>45993</v>
      </c>
      <c r="H29" s="53">
        <v>46000</v>
      </c>
      <c r="I29" s="68" t="s">
        <v>145</v>
      </c>
      <c r="J29" s="69"/>
      <c r="K29" s="23"/>
      <c r="L29" s="23"/>
      <c r="O29" s="81"/>
    </row>
    <row r="30" spans="1:15">
      <c r="A30" s="12">
        <v>22</v>
      </c>
      <c r="B30" s="69"/>
      <c r="C30" s="69"/>
      <c r="D30" s="69"/>
      <c r="E30" s="66">
        <v>1</v>
      </c>
      <c r="F30" s="17" t="s">
        <v>115</v>
      </c>
      <c r="G30" s="73">
        <v>45992</v>
      </c>
      <c r="H30" s="73">
        <v>46000</v>
      </c>
      <c r="I30" s="76" t="s">
        <v>131</v>
      </c>
      <c r="J30" s="71"/>
      <c r="K30" s="72"/>
      <c r="L30" s="20"/>
      <c r="O30" s="81"/>
    </row>
    <row r="31" spans="1:15">
      <c r="A31" s="12">
        <v>23</v>
      </c>
      <c r="B31" s="62"/>
      <c r="C31" s="70"/>
      <c r="D31" s="66"/>
      <c r="E31" s="65"/>
      <c r="F31" s="66"/>
      <c r="G31" s="67"/>
      <c r="H31" s="67"/>
      <c r="I31" s="69"/>
      <c r="J31" s="22"/>
      <c r="K31" s="69"/>
      <c r="L31" s="23"/>
      <c r="O31" s="81"/>
    </row>
    <row r="32" spans="1:15">
      <c r="A32" s="12">
        <v>24</v>
      </c>
      <c r="B32" s="69"/>
      <c r="C32" s="69"/>
      <c r="D32" s="69"/>
      <c r="E32" s="66">
        <v>1</v>
      </c>
      <c r="F32" s="17" t="s">
        <v>121</v>
      </c>
      <c r="G32" s="73">
        <v>45992</v>
      </c>
      <c r="H32" s="73">
        <v>46000</v>
      </c>
      <c r="I32" s="76" t="s">
        <v>131</v>
      </c>
      <c r="J32" s="71"/>
      <c r="K32" s="72"/>
      <c r="L32" s="20"/>
      <c r="O32" s="81"/>
    </row>
    <row r="33" spans="1:15">
      <c r="A33" s="12">
        <v>25</v>
      </c>
      <c r="B33" s="69"/>
      <c r="C33" s="69"/>
      <c r="D33" s="69"/>
      <c r="E33" s="66">
        <v>2</v>
      </c>
      <c r="F33" s="66" t="s">
        <v>121</v>
      </c>
      <c r="G33" s="73">
        <v>45992</v>
      </c>
      <c r="H33" s="73">
        <v>46000</v>
      </c>
      <c r="I33" s="76" t="s">
        <v>131</v>
      </c>
      <c r="J33" s="69"/>
      <c r="K33" s="20"/>
      <c r="L33" s="20"/>
      <c r="O33" s="81"/>
    </row>
    <row r="34" spans="1:15">
      <c r="A34" s="12">
        <v>26</v>
      </c>
      <c r="B34" s="69"/>
      <c r="C34" s="69"/>
      <c r="D34" s="69"/>
      <c r="E34" s="66">
        <v>1</v>
      </c>
      <c r="F34" s="66" t="s">
        <v>123</v>
      </c>
      <c r="G34" s="73">
        <v>45992</v>
      </c>
      <c r="H34" s="73">
        <v>46000</v>
      </c>
      <c r="I34" s="76" t="s">
        <v>131</v>
      </c>
      <c r="J34" s="71"/>
      <c r="K34" s="20"/>
      <c r="L34" s="20"/>
      <c r="O34" s="81"/>
    </row>
    <row r="35" spans="1:15">
      <c r="A35" s="12">
        <v>27</v>
      </c>
      <c r="B35" s="69"/>
      <c r="C35" s="69"/>
      <c r="D35" s="74"/>
      <c r="E35" s="66">
        <v>1</v>
      </c>
      <c r="F35" s="17" t="s">
        <v>115</v>
      </c>
      <c r="G35" s="73">
        <v>45993</v>
      </c>
      <c r="H35" s="73">
        <v>46000</v>
      </c>
      <c r="I35" s="68" t="s">
        <v>86</v>
      </c>
      <c r="J35" s="69"/>
      <c r="K35" s="20"/>
      <c r="L35" s="20"/>
      <c r="O35" s="81"/>
    </row>
    <row r="36" spans="1:15">
      <c r="A36" s="12">
        <v>28</v>
      </c>
      <c r="B36" s="69"/>
      <c r="C36" s="69"/>
      <c r="D36" s="69"/>
      <c r="E36" s="66">
        <v>1</v>
      </c>
      <c r="F36" s="66" t="s">
        <v>117</v>
      </c>
      <c r="G36" s="73">
        <v>45992</v>
      </c>
      <c r="H36" s="73">
        <v>46000</v>
      </c>
      <c r="I36" s="76" t="s">
        <v>131</v>
      </c>
      <c r="J36" s="76"/>
      <c r="K36" s="20"/>
      <c r="L36" s="20"/>
      <c r="O36" s="81"/>
    </row>
    <row r="37" spans="1:15">
      <c r="A37" s="12">
        <v>29</v>
      </c>
      <c r="B37" s="62"/>
      <c r="C37" s="70"/>
      <c r="D37" s="66"/>
      <c r="E37" s="66">
        <v>1</v>
      </c>
      <c r="F37" s="66" t="s">
        <v>75</v>
      </c>
      <c r="G37" s="73">
        <v>45993</v>
      </c>
      <c r="H37" s="73">
        <v>46000</v>
      </c>
      <c r="I37" s="68" t="s">
        <v>86</v>
      </c>
      <c r="J37" s="20"/>
      <c r="K37" s="20"/>
      <c r="L37" s="20"/>
      <c r="O37" s="81"/>
    </row>
    <row r="38" spans="1:15">
      <c r="A38" s="12">
        <v>30</v>
      </c>
      <c r="B38" s="69"/>
      <c r="C38" s="69"/>
      <c r="D38" s="69"/>
      <c r="E38" s="66">
        <v>1</v>
      </c>
      <c r="F38" s="66" t="s">
        <v>115</v>
      </c>
      <c r="G38" s="73">
        <v>45992</v>
      </c>
      <c r="H38" s="73">
        <v>46000</v>
      </c>
      <c r="I38" s="76" t="s">
        <v>131</v>
      </c>
      <c r="J38" s="20"/>
      <c r="K38" s="20"/>
      <c r="L38" s="20"/>
      <c r="O38" s="81"/>
    </row>
    <row r="39" spans="1:15">
      <c r="A39" s="12">
        <v>31</v>
      </c>
      <c r="B39" s="69"/>
      <c r="C39" s="69"/>
      <c r="D39" s="69"/>
      <c r="E39" s="66">
        <v>1</v>
      </c>
      <c r="F39" s="66" t="s">
        <v>115</v>
      </c>
      <c r="G39" s="73">
        <v>45992</v>
      </c>
      <c r="H39" s="73">
        <v>46000</v>
      </c>
      <c r="I39" s="76" t="s">
        <v>131</v>
      </c>
      <c r="J39" s="20"/>
      <c r="K39" s="20"/>
      <c r="L39" s="20"/>
      <c r="O39" s="81"/>
    </row>
    <row r="40" spans="1:15">
      <c r="A40" s="12">
        <v>32</v>
      </c>
      <c r="B40" s="20"/>
      <c r="C40" s="20"/>
      <c r="D40" s="69"/>
      <c r="E40" s="66">
        <v>1</v>
      </c>
      <c r="F40" s="69" t="s">
        <v>150</v>
      </c>
      <c r="G40" s="73">
        <v>45993</v>
      </c>
      <c r="H40" s="73">
        <v>46000</v>
      </c>
      <c r="I40" s="68" t="s">
        <v>86</v>
      </c>
      <c r="J40" s="20"/>
      <c r="K40" s="20"/>
      <c r="L40" s="20"/>
      <c r="O40" s="81"/>
    </row>
    <row r="41" spans="1:15">
      <c r="A41" s="12">
        <v>33</v>
      </c>
      <c r="B41" s="20"/>
      <c r="C41" s="69"/>
      <c r="D41" s="69"/>
      <c r="E41" s="66" t="s">
        <v>151</v>
      </c>
      <c r="F41" s="69" t="s">
        <v>150</v>
      </c>
      <c r="G41" s="73">
        <v>45993</v>
      </c>
      <c r="H41" s="73">
        <v>46000</v>
      </c>
      <c r="I41" s="68" t="s">
        <v>86</v>
      </c>
      <c r="J41" s="20"/>
      <c r="K41" s="20"/>
      <c r="L41" s="20"/>
      <c r="O41" s="81"/>
    </row>
    <row r="42" spans="1:15">
      <c r="A42" s="12">
        <v>34</v>
      </c>
      <c r="B42" s="20"/>
      <c r="C42" s="20"/>
      <c r="D42" s="20"/>
      <c r="E42" s="66" t="s">
        <v>102</v>
      </c>
      <c r="F42" s="69" t="s">
        <v>150</v>
      </c>
      <c r="G42" s="73">
        <v>45993</v>
      </c>
      <c r="H42" s="73">
        <v>46000</v>
      </c>
      <c r="I42" s="68" t="s">
        <v>86</v>
      </c>
      <c r="J42" s="20"/>
      <c r="K42" s="20"/>
      <c r="L42" s="20"/>
      <c r="O42" s="81"/>
    </row>
    <row r="43" spans="1:15">
      <c r="A43" s="12">
        <v>35</v>
      </c>
      <c r="B43" s="69"/>
      <c r="C43" s="69"/>
      <c r="D43" s="20"/>
      <c r="E43" s="66" t="s">
        <v>98</v>
      </c>
      <c r="F43" s="66" t="s">
        <v>120</v>
      </c>
      <c r="G43" s="73">
        <v>45992</v>
      </c>
      <c r="H43" s="73">
        <v>46000</v>
      </c>
      <c r="I43" s="76" t="s">
        <v>131</v>
      </c>
      <c r="J43" s="20"/>
      <c r="K43" s="20"/>
      <c r="L43" s="20"/>
      <c r="O43" s="81"/>
    </row>
    <row r="44" spans="1:15">
      <c r="A44" s="12">
        <v>36</v>
      </c>
      <c r="B44" s="69"/>
      <c r="C44" s="69"/>
      <c r="D44" s="69"/>
      <c r="E44" s="66">
        <v>1</v>
      </c>
      <c r="F44" s="66" t="s">
        <v>115</v>
      </c>
      <c r="G44" s="73">
        <v>45993</v>
      </c>
      <c r="H44" s="73">
        <v>46000</v>
      </c>
      <c r="I44" s="68" t="s">
        <v>86</v>
      </c>
      <c r="J44" s="20"/>
      <c r="K44" s="20"/>
      <c r="L44" s="20"/>
      <c r="O44" s="81"/>
    </row>
    <row r="45" spans="1:15">
      <c r="A45" s="12">
        <v>37</v>
      </c>
      <c r="B45" s="62"/>
      <c r="C45" s="70"/>
      <c r="D45" s="66"/>
      <c r="E45" s="66">
        <v>1</v>
      </c>
      <c r="F45" s="66" t="s">
        <v>75</v>
      </c>
      <c r="G45" s="73">
        <v>45993</v>
      </c>
      <c r="H45" s="73">
        <v>46000</v>
      </c>
      <c r="I45" s="68" t="s">
        <v>86</v>
      </c>
      <c r="J45" s="20"/>
      <c r="K45" s="20"/>
      <c r="L45" s="20"/>
      <c r="O45" s="81"/>
    </row>
    <row r="46" spans="1:15">
      <c r="A46" s="12">
        <v>38</v>
      </c>
      <c r="B46" s="20"/>
      <c r="C46" s="20"/>
      <c r="D46" s="20"/>
      <c r="E46" s="66">
        <v>1</v>
      </c>
      <c r="F46" s="66" t="s">
        <v>115</v>
      </c>
      <c r="G46" s="73">
        <v>45992</v>
      </c>
      <c r="H46" s="73">
        <v>46000</v>
      </c>
      <c r="I46" s="76" t="s">
        <v>131</v>
      </c>
      <c r="J46" s="20"/>
      <c r="K46" s="20"/>
      <c r="L46" s="20"/>
    </row>
    <row r="47" spans="1:15">
      <c r="A47" s="12">
        <v>39</v>
      </c>
      <c r="B47" s="20"/>
      <c r="C47" s="20"/>
      <c r="D47" s="20"/>
      <c r="E47" s="66" t="s">
        <v>98</v>
      </c>
      <c r="F47" s="66" t="s">
        <v>99</v>
      </c>
      <c r="G47" s="73">
        <v>45994</v>
      </c>
      <c r="H47" s="73">
        <v>46000</v>
      </c>
      <c r="I47" s="68" t="s">
        <v>110</v>
      </c>
      <c r="J47" s="20"/>
      <c r="K47" s="20"/>
      <c r="L47" s="20"/>
    </row>
    <row r="48" spans="1:15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1048242" spans="9:9">
      <c r="I1048242" s="68" t="s">
        <v>145</v>
      </c>
    </row>
  </sheetData>
  <sortState ref="B9:K60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43:C60" xr:uid="{520C2F57-F88D-452D-92D1-73744ACD7582}">
      <formula1>A35:A60</formula1>
    </dataValidation>
  </dataValidation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information" allowBlank="1" showInputMessage="1" showErrorMessage="1" errorTitle="Please Check Entry" error="It is recommended to pick a course from the list." xr:uid="{809B4472-F6C5-41E5-9749-A9B4F30F0086}">
          <x14:formula1>
            <xm:f>#REF!</xm:f>
          </x14:formula1>
          <xm:sqref>C14</xm:sqref>
        </x14:dataValidation>
        <x14:dataValidation type="list" errorStyle="information" allowBlank="1" showInputMessage="1" showErrorMessage="1" errorTitle="Please Check Entry" error="It is recommended to pick a course from the list." xr:uid="{22070C7A-E0E2-4116-BF82-8C9189458592}">
          <x14:formula1>
            <xm:f>#REF!</xm:f>
          </x14:formula1>
          <xm:sqref>C19</xm:sqref>
        </x14:dataValidation>
        <x14:dataValidation type="list" errorStyle="information" allowBlank="1" showInputMessage="1" showErrorMessage="1" errorTitle="Please Check Entry" error="It is recommended to pick a course from the list." xr:uid="{9113E610-024A-42B6-9EDA-883E2B7A87EA}">
          <x14:formula1>
            <xm:f>#REF!</xm:f>
          </x14:formula1>
          <xm:sqref>C42</xm:sqref>
        </x14:dataValidation>
        <x14:dataValidation type="list" errorStyle="information" allowBlank="1" showInputMessage="1" showErrorMessage="1" errorTitle="Please Check Entry" error="It is recommended to pick a course from the list." xr:uid="{DA2C7E17-B653-44AD-9DFB-7BFEF110BD9F}">
          <x14:formula1>
            <xm:f>#REF!</xm:f>
          </x14:formula1>
          <xm:sqref>C20:C41</xm:sqref>
        </x14:dataValidation>
        <x14:dataValidation type="list" errorStyle="information" allowBlank="1" showInputMessage="1" showErrorMessage="1" errorTitle="Please Check Entry" error="It is recommended to pick a course from the list." xr:uid="{D7B4B76C-50EB-4B34-AF42-31CD474ED15C}">
          <x14:formula1>
            <xm:f>#REF!</xm:f>
          </x14:formula1>
          <xm:sqref>C15:C18 C9:C13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70"/>
  <sheetViews>
    <sheetView topLeftCell="A51" zoomScale="98" zoomScaleNormal="45" workbookViewId="0">
      <selection activeCell="Q73" sqref="Q73"/>
    </sheetView>
  </sheetViews>
  <sheetFormatPr defaultRowHeight="14.25"/>
  <cols>
    <col min="1" max="1" width="4.125" style="81" customWidth="1"/>
    <col min="2" max="2" width="23.375" style="81" customWidth="1"/>
    <col min="3" max="3" width="7.75" style="81" customWidth="1"/>
    <col min="4" max="4" width="7.625" style="81" customWidth="1"/>
    <col min="5" max="5" width="6.625" style="81" customWidth="1"/>
    <col min="6" max="6" width="11.5" style="81" customWidth="1"/>
    <col min="7" max="7" width="9.125" style="81" customWidth="1"/>
    <col min="8" max="8" width="12.25" style="81" customWidth="1"/>
    <col min="9" max="9" width="10.875" style="81" customWidth="1"/>
    <col min="10" max="16384" width="9" style="81"/>
  </cols>
  <sheetData>
    <row r="1" spans="1:12" ht="22.5">
      <c r="A1" s="121">
        <v>46001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</row>
    <row r="2" spans="1:12">
      <c r="A2" s="122" t="s">
        <v>0</v>
      </c>
      <c r="B2" s="122"/>
      <c r="C2" s="122"/>
      <c r="D2" s="123"/>
      <c r="E2" s="123"/>
      <c r="F2" s="123"/>
      <c r="G2" s="123"/>
      <c r="H2" s="123"/>
      <c r="I2" s="123"/>
      <c r="J2" s="123"/>
      <c r="K2" s="123"/>
      <c r="L2" s="123"/>
    </row>
    <row r="3" spans="1:12">
      <c r="A3" s="82"/>
      <c r="B3" s="83" t="s">
        <v>1</v>
      </c>
      <c r="C3" s="84" t="s">
        <v>2</v>
      </c>
      <c r="D3" s="85"/>
      <c r="E3" s="85" t="s">
        <v>3</v>
      </c>
      <c r="F3" s="124" t="s">
        <v>4</v>
      </c>
      <c r="G3" s="124"/>
      <c r="H3" s="124"/>
      <c r="I3" s="86"/>
      <c r="J3" s="87"/>
      <c r="K3" s="125"/>
      <c r="L3" s="125"/>
    </row>
    <row r="4" spans="1:12">
      <c r="A4" s="88"/>
      <c r="B4" s="83" t="s">
        <v>5</v>
      </c>
      <c r="C4" s="84" t="s">
        <v>6</v>
      </c>
      <c r="D4" s="85"/>
      <c r="E4" s="85"/>
      <c r="F4" s="86" t="s">
        <v>7</v>
      </c>
      <c r="G4" s="86" t="s">
        <v>8</v>
      </c>
      <c r="H4" s="89" t="s">
        <v>9</v>
      </c>
      <c r="I4" s="89"/>
      <c r="J4" s="90"/>
      <c r="K4" s="125"/>
      <c r="L4" s="125"/>
    </row>
    <row r="5" spans="1:12">
      <c r="A5" s="88"/>
      <c r="B5" s="83" t="s">
        <v>10</v>
      </c>
      <c r="C5" s="126" t="s">
        <v>11</v>
      </c>
      <c r="D5" s="126"/>
      <c r="E5" s="126"/>
      <c r="F5" s="86" t="s">
        <v>12</v>
      </c>
      <c r="G5" s="86" t="s">
        <v>13</v>
      </c>
      <c r="H5" s="91" t="s">
        <v>14</v>
      </c>
      <c r="I5" s="91"/>
      <c r="J5" s="83"/>
      <c r="K5" s="125"/>
      <c r="L5" s="125"/>
    </row>
    <row r="6" spans="1:12">
      <c r="A6" s="88"/>
      <c r="B6" s="83" t="s">
        <v>15</v>
      </c>
      <c r="C6" s="84" t="s">
        <v>16</v>
      </c>
      <c r="D6" s="85"/>
      <c r="E6" s="85"/>
      <c r="F6" s="86" t="s">
        <v>17</v>
      </c>
      <c r="G6" s="86" t="s">
        <v>18</v>
      </c>
      <c r="H6" s="89" t="s">
        <v>19</v>
      </c>
      <c r="I6" s="89"/>
      <c r="J6" s="90"/>
      <c r="K6" s="125"/>
      <c r="L6" s="125"/>
    </row>
    <row r="7" spans="1:12">
      <c r="A7" s="88"/>
      <c r="B7" s="88"/>
      <c r="C7" s="84"/>
      <c r="D7" s="85"/>
      <c r="E7" s="85"/>
      <c r="F7" s="86" t="s">
        <v>20</v>
      </c>
      <c r="G7" s="89" t="s">
        <v>21</v>
      </c>
      <c r="H7" s="91" t="s">
        <v>22</v>
      </c>
      <c r="I7" s="91"/>
      <c r="J7" s="83"/>
      <c r="K7" s="125"/>
      <c r="L7" s="125"/>
    </row>
    <row r="8" spans="1:12" ht="60">
      <c r="A8" s="92" t="s">
        <v>23</v>
      </c>
      <c r="B8" s="92" t="s">
        <v>24</v>
      </c>
      <c r="C8" s="92"/>
      <c r="D8" s="93"/>
      <c r="E8" s="94" t="s">
        <v>27</v>
      </c>
      <c r="F8" s="92" t="s">
        <v>28</v>
      </c>
      <c r="G8" s="94" t="s">
        <v>29</v>
      </c>
      <c r="H8" s="93" t="s">
        <v>30</v>
      </c>
      <c r="I8" s="94" t="s">
        <v>57</v>
      </c>
      <c r="J8" s="94" t="s">
        <v>31</v>
      </c>
      <c r="K8" s="95" t="s">
        <v>32</v>
      </c>
      <c r="L8" s="94"/>
    </row>
    <row r="9" spans="1:12">
      <c r="A9" s="96">
        <v>1</v>
      </c>
      <c r="B9" s="97"/>
      <c r="C9" s="78"/>
      <c r="D9" s="98"/>
      <c r="E9" s="99">
        <v>1</v>
      </c>
      <c r="F9" s="99" t="s">
        <v>71</v>
      </c>
      <c r="G9" s="100">
        <v>45993</v>
      </c>
      <c r="H9" s="100">
        <v>46001</v>
      </c>
      <c r="I9" s="101" t="s">
        <v>131</v>
      </c>
      <c r="J9" s="102"/>
      <c r="K9" s="97"/>
      <c r="L9" s="97"/>
    </row>
    <row r="10" spans="1:12">
      <c r="A10" s="96">
        <v>2</v>
      </c>
      <c r="B10" s="97"/>
      <c r="C10" s="78"/>
      <c r="D10" s="98"/>
      <c r="E10" s="99">
        <v>1</v>
      </c>
      <c r="F10" s="99" t="s">
        <v>71</v>
      </c>
      <c r="G10" s="100">
        <v>45993</v>
      </c>
      <c r="H10" s="100">
        <v>46001</v>
      </c>
      <c r="I10" s="101" t="s">
        <v>131</v>
      </c>
      <c r="J10" s="97"/>
      <c r="K10" s="103"/>
      <c r="L10" s="103"/>
    </row>
    <row r="11" spans="1:12">
      <c r="A11" s="96">
        <v>3</v>
      </c>
      <c r="B11" s="97"/>
      <c r="C11" s="78"/>
      <c r="D11" s="98"/>
      <c r="E11" s="99">
        <v>1</v>
      </c>
      <c r="F11" s="99" t="s">
        <v>71</v>
      </c>
      <c r="G11" s="100">
        <v>45993</v>
      </c>
      <c r="H11" s="100">
        <v>46001</v>
      </c>
      <c r="I11" s="101" t="s">
        <v>131</v>
      </c>
      <c r="J11" s="97"/>
      <c r="K11" s="97"/>
      <c r="L11" s="97"/>
    </row>
    <row r="12" spans="1:12">
      <c r="A12" s="96">
        <v>4</v>
      </c>
      <c r="B12" s="96"/>
      <c r="C12" s="78"/>
      <c r="D12" s="99"/>
      <c r="E12" s="99">
        <v>1</v>
      </c>
      <c r="F12" s="99" t="s">
        <v>75</v>
      </c>
      <c r="G12" s="100">
        <v>45993</v>
      </c>
      <c r="H12" s="100">
        <v>46001</v>
      </c>
      <c r="I12" s="101" t="s">
        <v>131</v>
      </c>
      <c r="J12" s="102"/>
      <c r="K12" s="97"/>
      <c r="L12" s="97"/>
    </row>
    <row r="13" spans="1:12">
      <c r="A13" s="96">
        <v>5</v>
      </c>
      <c r="B13" s="97"/>
      <c r="C13" s="78"/>
      <c r="D13" s="98"/>
      <c r="E13" s="99">
        <v>1</v>
      </c>
      <c r="F13" s="99" t="s">
        <v>92</v>
      </c>
      <c r="G13" s="100">
        <v>45993</v>
      </c>
      <c r="H13" s="100">
        <v>46001</v>
      </c>
      <c r="I13" s="101" t="s">
        <v>131</v>
      </c>
      <c r="J13" s="102"/>
      <c r="K13" s="103"/>
      <c r="L13" s="103"/>
    </row>
    <row r="14" spans="1:12">
      <c r="A14" s="96">
        <v>6</v>
      </c>
      <c r="B14" s="96"/>
      <c r="C14" s="78"/>
      <c r="D14" s="99"/>
      <c r="E14" s="99">
        <v>1</v>
      </c>
      <c r="F14" s="99" t="s">
        <v>75</v>
      </c>
      <c r="G14" s="100">
        <v>45993</v>
      </c>
      <c r="H14" s="100">
        <v>46001</v>
      </c>
      <c r="I14" s="101" t="s">
        <v>131</v>
      </c>
      <c r="J14" s="102"/>
      <c r="K14" s="103"/>
      <c r="L14" s="103"/>
    </row>
    <row r="15" spans="1:12">
      <c r="A15" s="96">
        <v>7</v>
      </c>
      <c r="B15" s="96"/>
      <c r="C15" s="80"/>
      <c r="D15" s="104"/>
      <c r="E15" s="99">
        <v>1</v>
      </c>
      <c r="F15" s="99" t="s">
        <v>75</v>
      </c>
      <c r="G15" s="100">
        <v>45993</v>
      </c>
      <c r="H15" s="100">
        <v>46001</v>
      </c>
      <c r="I15" s="101" t="s">
        <v>131</v>
      </c>
      <c r="J15" s="102"/>
      <c r="K15" s="97"/>
      <c r="L15" s="97"/>
    </row>
    <row r="16" spans="1:12">
      <c r="A16" s="96">
        <v>8</v>
      </c>
      <c r="B16" s="97"/>
      <c r="C16" s="78"/>
      <c r="D16" s="97"/>
      <c r="E16" s="99">
        <v>2</v>
      </c>
      <c r="F16" s="99" t="s">
        <v>92</v>
      </c>
      <c r="G16" s="100">
        <v>45993</v>
      </c>
      <c r="H16" s="100">
        <v>46001</v>
      </c>
      <c r="I16" s="101" t="s">
        <v>131</v>
      </c>
      <c r="J16" s="97"/>
      <c r="K16" s="103"/>
      <c r="L16" s="103"/>
    </row>
    <row r="17" spans="1:12">
      <c r="A17" s="96">
        <v>9</v>
      </c>
      <c r="B17" s="96"/>
      <c r="C17" s="78"/>
      <c r="D17" s="99"/>
      <c r="E17" s="99">
        <v>1</v>
      </c>
      <c r="F17" s="99" t="s">
        <v>75</v>
      </c>
      <c r="G17" s="100">
        <v>45993</v>
      </c>
      <c r="H17" s="100">
        <v>46001</v>
      </c>
      <c r="I17" s="101" t="s">
        <v>131</v>
      </c>
      <c r="J17" s="102"/>
      <c r="K17" s="103"/>
      <c r="L17" s="103"/>
    </row>
    <row r="18" spans="1:12">
      <c r="A18" s="96">
        <v>10</v>
      </c>
      <c r="B18" s="97"/>
      <c r="C18" s="78"/>
      <c r="D18" s="97"/>
      <c r="E18" s="99">
        <v>1</v>
      </c>
      <c r="F18" s="99" t="s">
        <v>75</v>
      </c>
      <c r="G18" s="100">
        <v>45993</v>
      </c>
      <c r="H18" s="100">
        <v>46001</v>
      </c>
      <c r="I18" s="101" t="s">
        <v>131</v>
      </c>
      <c r="J18" s="97"/>
      <c r="K18" s="97"/>
      <c r="L18" s="97"/>
    </row>
    <row r="19" spans="1:12">
      <c r="A19" s="96">
        <v>11</v>
      </c>
      <c r="B19" s="97"/>
      <c r="C19" s="78"/>
      <c r="D19" s="98"/>
      <c r="E19" s="99">
        <v>1</v>
      </c>
      <c r="F19" s="99" t="s">
        <v>71</v>
      </c>
      <c r="G19" s="100">
        <v>45993</v>
      </c>
      <c r="H19" s="100">
        <v>46001</v>
      </c>
      <c r="I19" s="101" t="s">
        <v>131</v>
      </c>
      <c r="J19" s="97"/>
      <c r="K19" s="97"/>
      <c r="L19" s="97"/>
    </row>
    <row r="20" spans="1:12">
      <c r="A20" s="96">
        <v>12</v>
      </c>
      <c r="B20" s="96"/>
      <c r="C20" s="78"/>
      <c r="D20" s="98"/>
      <c r="E20" s="99">
        <v>1</v>
      </c>
      <c r="F20" s="99" t="s">
        <v>71</v>
      </c>
      <c r="G20" s="100">
        <v>45993</v>
      </c>
      <c r="H20" s="100">
        <v>46001</v>
      </c>
      <c r="I20" s="101" t="s">
        <v>131</v>
      </c>
      <c r="J20" s="102"/>
      <c r="K20" s="103"/>
      <c r="L20" s="103"/>
    </row>
    <row r="21" spans="1:12">
      <c r="A21" s="96">
        <v>13</v>
      </c>
      <c r="B21" s="97"/>
      <c r="C21" s="78"/>
      <c r="D21" s="98"/>
      <c r="E21" s="99">
        <v>1</v>
      </c>
      <c r="F21" s="99" t="s">
        <v>92</v>
      </c>
      <c r="G21" s="100">
        <v>45993</v>
      </c>
      <c r="H21" s="100">
        <v>46001</v>
      </c>
      <c r="I21" s="101" t="s">
        <v>131</v>
      </c>
      <c r="J21" s="102"/>
      <c r="K21" s="103"/>
      <c r="L21" s="103"/>
    </row>
    <row r="22" spans="1:12">
      <c r="A22" s="96">
        <v>14</v>
      </c>
      <c r="B22" s="96"/>
      <c r="C22" s="78"/>
      <c r="D22" s="99"/>
      <c r="E22" s="99">
        <v>1</v>
      </c>
      <c r="F22" s="99" t="s">
        <v>75</v>
      </c>
      <c r="G22" s="100">
        <v>45993</v>
      </c>
      <c r="H22" s="100">
        <v>46001</v>
      </c>
      <c r="I22" s="101" t="s">
        <v>131</v>
      </c>
      <c r="J22" s="102"/>
      <c r="K22" s="97"/>
      <c r="L22" s="97"/>
    </row>
    <row r="23" spans="1:12">
      <c r="A23" s="96">
        <v>15</v>
      </c>
      <c r="B23" s="97"/>
      <c r="C23" s="78"/>
      <c r="D23" s="98"/>
      <c r="E23" s="99">
        <v>1</v>
      </c>
      <c r="F23" s="99" t="s">
        <v>71</v>
      </c>
      <c r="G23" s="100">
        <v>45993</v>
      </c>
      <c r="H23" s="100">
        <v>46001</v>
      </c>
      <c r="I23" s="101" t="s">
        <v>131</v>
      </c>
      <c r="J23" s="97"/>
      <c r="K23" s="97"/>
      <c r="L23" s="97"/>
    </row>
    <row r="24" spans="1:12">
      <c r="A24" s="96">
        <v>16</v>
      </c>
      <c r="B24" s="97"/>
      <c r="C24" s="78"/>
      <c r="D24" s="98"/>
      <c r="E24" s="99">
        <v>1</v>
      </c>
      <c r="F24" s="99" t="s">
        <v>71</v>
      </c>
      <c r="G24" s="100">
        <v>45993</v>
      </c>
      <c r="H24" s="100">
        <v>46001</v>
      </c>
      <c r="I24" s="101" t="s">
        <v>131</v>
      </c>
      <c r="J24" s="102"/>
      <c r="K24" s="103"/>
      <c r="L24" s="103"/>
    </row>
    <row r="25" spans="1:12">
      <c r="A25" s="96">
        <v>17</v>
      </c>
      <c r="B25" s="96"/>
      <c r="C25" s="78"/>
      <c r="D25" s="98"/>
      <c r="E25" s="99">
        <v>1</v>
      </c>
      <c r="F25" s="99" t="s">
        <v>71</v>
      </c>
      <c r="G25" s="100">
        <v>45993</v>
      </c>
      <c r="H25" s="100">
        <v>46001</v>
      </c>
      <c r="I25" s="101" t="s">
        <v>131</v>
      </c>
      <c r="J25" s="97"/>
      <c r="K25" s="103"/>
      <c r="L25" s="103"/>
    </row>
    <row r="26" spans="1:12">
      <c r="A26" s="96">
        <v>18</v>
      </c>
      <c r="B26" s="97"/>
      <c r="C26" s="78"/>
      <c r="D26" s="98"/>
      <c r="E26" s="99">
        <v>1</v>
      </c>
      <c r="F26" s="99" t="s">
        <v>71</v>
      </c>
      <c r="G26" s="100">
        <v>45993</v>
      </c>
      <c r="H26" s="100">
        <v>46001</v>
      </c>
      <c r="I26" s="101" t="s">
        <v>131</v>
      </c>
      <c r="J26" s="97"/>
      <c r="K26" s="103"/>
      <c r="L26" s="103"/>
    </row>
    <row r="27" spans="1:12">
      <c r="A27" s="96">
        <v>19</v>
      </c>
      <c r="B27" s="97"/>
      <c r="C27" s="78"/>
      <c r="D27" s="97"/>
      <c r="E27" s="99">
        <v>1</v>
      </c>
      <c r="F27" s="99" t="s">
        <v>75</v>
      </c>
      <c r="G27" s="100">
        <v>45993</v>
      </c>
      <c r="H27" s="100">
        <v>46001</v>
      </c>
      <c r="I27" s="101" t="s">
        <v>131</v>
      </c>
      <c r="J27" s="102"/>
      <c r="K27" s="97"/>
      <c r="L27" s="97"/>
    </row>
    <row r="28" spans="1:12">
      <c r="A28" s="96">
        <v>20</v>
      </c>
      <c r="B28" s="97"/>
      <c r="C28" s="78"/>
      <c r="D28" s="97"/>
      <c r="E28" s="99">
        <v>1</v>
      </c>
      <c r="F28" s="99" t="s">
        <v>75</v>
      </c>
      <c r="G28" s="100">
        <v>45993</v>
      </c>
      <c r="H28" s="100">
        <v>46001</v>
      </c>
      <c r="I28" s="101" t="s">
        <v>131</v>
      </c>
      <c r="J28" s="97"/>
      <c r="K28" s="103"/>
      <c r="L28" s="103"/>
    </row>
    <row r="29" spans="1:12">
      <c r="A29" s="96">
        <v>21</v>
      </c>
      <c r="B29" s="69"/>
      <c r="C29" s="78"/>
      <c r="D29" s="98"/>
      <c r="E29" s="99">
        <v>1</v>
      </c>
      <c r="F29" s="99" t="s">
        <v>71</v>
      </c>
      <c r="G29" s="100">
        <v>45993</v>
      </c>
      <c r="H29" s="100">
        <v>46001</v>
      </c>
      <c r="I29" s="101" t="s">
        <v>131</v>
      </c>
      <c r="J29" s="102"/>
      <c r="K29" s="103"/>
      <c r="L29" s="103"/>
    </row>
    <row r="30" spans="1:12">
      <c r="A30" s="96">
        <v>22</v>
      </c>
      <c r="B30" s="97"/>
      <c r="C30" s="78"/>
      <c r="D30" s="98"/>
      <c r="E30" s="99">
        <v>1</v>
      </c>
      <c r="F30" s="99" t="s">
        <v>71</v>
      </c>
      <c r="G30" s="100">
        <v>45993</v>
      </c>
      <c r="H30" s="100">
        <v>46001</v>
      </c>
      <c r="I30" s="101" t="s">
        <v>131</v>
      </c>
      <c r="J30" s="97"/>
      <c r="K30" s="97"/>
      <c r="L30" s="97"/>
    </row>
    <row r="31" spans="1:12">
      <c r="A31" s="96">
        <v>23</v>
      </c>
      <c r="B31" s="97"/>
      <c r="C31" s="78"/>
      <c r="D31" s="98"/>
      <c r="E31" s="99">
        <v>1</v>
      </c>
      <c r="F31" s="99" t="s">
        <v>71</v>
      </c>
      <c r="G31" s="100">
        <v>45993</v>
      </c>
      <c r="H31" s="100">
        <v>46001</v>
      </c>
      <c r="I31" s="101" t="s">
        <v>131</v>
      </c>
      <c r="J31" s="102"/>
      <c r="K31" s="103"/>
      <c r="L31" s="103"/>
    </row>
    <row r="32" spans="1:12">
      <c r="A32" s="96">
        <v>24</v>
      </c>
      <c r="B32" s="97"/>
      <c r="C32" s="78"/>
      <c r="D32" s="97"/>
      <c r="E32" s="99">
        <v>2</v>
      </c>
      <c r="F32" s="99" t="s">
        <v>92</v>
      </c>
      <c r="G32" s="100">
        <v>45993</v>
      </c>
      <c r="H32" s="100">
        <v>46001</v>
      </c>
      <c r="I32" s="101" t="s">
        <v>131</v>
      </c>
      <c r="J32" s="97"/>
      <c r="K32" s="97"/>
      <c r="L32" s="97"/>
    </row>
    <row r="33" spans="1:12">
      <c r="A33" s="96">
        <v>25</v>
      </c>
      <c r="B33" s="97"/>
      <c r="C33" s="78"/>
      <c r="D33" s="97"/>
      <c r="E33" s="99">
        <v>1</v>
      </c>
      <c r="F33" s="99" t="s">
        <v>75</v>
      </c>
      <c r="G33" s="100">
        <v>45993</v>
      </c>
      <c r="H33" s="100">
        <v>46001</v>
      </c>
      <c r="I33" s="101" t="s">
        <v>131</v>
      </c>
      <c r="J33" s="102"/>
      <c r="K33" s="97"/>
      <c r="L33" s="97"/>
    </row>
    <row r="34" spans="1:12">
      <c r="A34" s="96">
        <v>26</v>
      </c>
      <c r="B34" s="97"/>
      <c r="C34" s="78"/>
      <c r="D34" s="98"/>
      <c r="E34" s="99">
        <v>1</v>
      </c>
      <c r="F34" s="99" t="s">
        <v>71</v>
      </c>
      <c r="G34" s="100">
        <v>45993</v>
      </c>
      <c r="H34" s="100">
        <v>46001</v>
      </c>
      <c r="I34" s="101" t="s">
        <v>131</v>
      </c>
      <c r="J34" s="97"/>
      <c r="K34" s="97"/>
      <c r="L34" s="97"/>
    </row>
    <row r="35" spans="1:12">
      <c r="A35" s="96">
        <v>27</v>
      </c>
      <c r="B35" s="97"/>
      <c r="C35" s="78"/>
      <c r="D35" s="98"/>
      <c r="E35" s="99">
        <v>1</v>
      </c>
      <c r="F35" s="99" t="s">
        <v>71</v>
      </c>
      <c r="G35" s="100">
        <v>45993</v>
      </c>
      <c r="H35" s="100">
        <v>46001</v>
      </c>
      <c r="I35" s="101" t="s">
        <v>131</v>
      </c>
      <c r="J35" s="97"/>
      <c r="K35" s="97"/>
      <c r="L35" s="97"/>
    </row>
    <row r="36" spans="1:12">
      <c r="A36" s="96">
        <v>28</v>
      </c>
      <c r="B36" s="97"/>
      <c r="C36" s="78"/>
      <c r="D36" s="98"/>
      <c r="E36" s="99">
        <v>1</v>
      </c>
      <c r="F36" s="99" t="s">
        <v>71</v>
      </c>
      <c r="G36" s="100">
        <v>45993</v>
      </c>
      <c r="H36" s="100">
        <v>46001</v>
      </c>
      <c r="I36" s="101" t="s">
        <v>131</v>
      </c>
      <c r="J36" s="97"/>
      <c r="K36" s="97"/>
      <c r="L36" s="97"/>
    </row>
    <row r="37" spans="1:12">
      <c r="A37" s="96">
        <v>29</v>
      </c>
      <c r="B37" s="96"/>
      <c r="C37" s="79"/>
      <c r="D37" s="99"/>
      <c r="E37" s="99">
        <v>1</v>
      </c>
      <c r="F37" s="99" t="s">
        <v>75</v>
      </c>
      <c r="G37" s="100">
        <v>45993</v>
      </c>
      <c r="H37" s="100">
        <v>46001</v>
      </c>
      <c r="I37" s="101" t="s">
        <v>131</v>
      </c>
      <c r="J37" s="97"/>
      <c r="K37" s="97"/>
      <c r="L37" s="97"/>
    </row>
    <row r="38" spans="1:12">
      <c r="A38" s="96">
        <v>30</v>
      </c>
      <c r="B38" s="97"/>
      <c r="C38" s="78"/>
      <c r="D38" s="98"/>
      <c r="E38" s="99">
        <v>1</v>
      </c>
      <c r="F38" s="99" t="s">
        <v>152</v>
      </c>
      <c r="G38" s="100">
        <v>45993</v>
      </c>
      <c r="H38" s="100">
        <v>46001</v>
      </c>
      <c r="I38" s="101" t="s">
        <v>131</v>
      </c>
      <c r="J38" s="97"/>
      <c r="K38" s="97"/>
      <c r="L38" s="97"/>
    </row>
    <row r="39" spans="1:12">
      <c r="A39" s="96">
        <v>31</v>
      </c>
      <c r="B39" s="97"/>
      <c r="C39" s="78"/>
      <c r="D39" s="98"/>
      <c r="E39" s="99">
        <v>1</v>
      </c>
      <c r="F39" s="99" t="s">
        <v>152</v>
      </c>
      <c r="G39" s="100">
        <v>45993</v>
      </c>
      <c r="H39" s="100">
        <v>46001</v>
      </c>
      <c r="I39" s="101" t="s">
        <v>131</v>
      </c>
      <c r="J39" s="97"/>
      <c r="K39" s="97"/>
      <c r="L39" s="97"/>
    </row>
    <row r="40" spans="1:12">
      <c r="A40" s="96">
        <v>32</v>
      </c>
      <c r="B40" s="97"/>
      <c r="C40" s="78"/>
      <c r="D40" s="98"/>
      <c r="E40" s="99">
        <v>1</v>
      </c>
      <c r="F40" s="99" t="s">
        <v>71</v>
      </c>
      <c r="G40" s="100">
        <v>45993</v>
      </c>
      <c r="H40" s="100">
        <v>46001</v>
      </c>
      <c r="I40" s="101" t="s">
        <v>131</v>
      </c>
      <c r="J40" s="97"/>
      <c r="K40" s="97"/>
      <c r="L40" s="97"/>
    </row>
    <row r="41" spans="1:12">
      <c r="A41" s="96">
        <v>33</v>
      </c>
      <c r="B41" s="97"/>
      <c r="C41" s="78"/>
      <c r="D41" s="98"/>
      <c r="E41" s="99">
        <v>1</v>
      </c>
      <c r="F41" s="99" t="s">
        <v>71</v>
      </c>
      <c r="G41" s="100">
        <v>45993</v>
      </c>
      <c r="H41" s="100">
        <v>46001</v>
      </c>
      <c r="I41" s="101" t="s">
        <v>131</v>
      </c>
      <c r="J41" s="97"/>
      <c r="K41" s="97"/>
      <c r="L41" s="97"/>
    </row>
    <row r="42" spans="1:12">
      <c r="A42" s="96">
        <v>34</v>
      </c>
      <c r="B42" s="97"/>
      <c r="C42" s="78"/>
      <c r="D42" s="97"/>
      <c r="E42" s="99" t="s">
        <v>113</v>
      </c>
      <c r="F42" s="99" t="s">
        <v>106</v>
      </c>
      <c r="G42" s="107">
        <v>46000</v>
      </c>
      <c r="H42" s="100">
        <v>46001</v>
      </c>
      <c r="I42" s="97" t="s">
        <v>171</v>
      </c>
      <c r="J42" s="97"/>
      <c r="K42" s="97"/>
      <c r="L42" s="97"/>
    </row>
    <row r="43" spans="1:12">
      <c r="A43" s="96">
        <v>35</v>
      </c>
      <c r="B43" s="97"/>
      <c r="C43" s="78"/>
      <c r="D43" s="97"/>
      <c r="E43" s="99">
        <v>1</v>
      </c>
      <c r="F43" s="97" t="s">
        <v>152</v>
      </c>
      <c r="G43" s="107">
        <v>46000</v>
      </c>
      <c r="H43" s="100">
        <v>46001</v>
      </c>
      <c r="I43" s="97" t="s">
        <v>171</v>
      </c>
      <c r="J43" s="97"/>
      <c r="K43" s="97"/>
      <c r="L43" s="97"/>
    </row>
    <row r="44" spans="1:12">
      <c r="A44" s="96">
        <v>36</v>
      </c>
      <c r="B44" s="97"/>
      <c r="C44" s="78"/>
      <c r="D44" s="97"/>
      <c r="E44" s="99" t="s">
        <v>113</v>
      </c>
      <c r="F44" s="99" t="s">
        <v>106</v>
      </c>
      <c r="G44" s="107">
        <v>46000</v>
      </c>
      <c r="H44" s="100">
        <v>46001</v>
      </c>
      <c r="I44" s="97" t="s">
        <v>171</v>
      </c>
      <c r="J44" s="97"/>
      <c r="K44" s="97"/>
      <c r="L44" s="97"/>
    </row>
    <row r="45" spans="1:12">
      <c r="A45" s="96">
        <v>37</v>
      </c>
      <c r="B45" s="97"/>
      <c r="C45" s="78"/>
      <c r="D45" s="97"/>
      <c r="E45" s="99" t="s">
        <v>113</v>
      </c>
      <c r="F45" s="99" t="s">
        <v>106</v>
      </c>
      <c r="G45" s="107">
        <v>46000</v>
      </c>
      <c r="H45" s="100">
        <v>46001</v>
      </c>
      <c r="I45" s="97" t="s">
        <v>171</v>
      </c>
      <c r="J45" s="97"/>
      <c r="K45" s="97"/>
      <c r="L45" s="97"/>
    </row>
    <row r="46" spans="1:12">
      <c r="A46" s="96">
        <v>38</v>
      </c>
      <c r="B46" s="97"/>
      <c r="C46" s="78"/>
      <c r="D46" s="97"/>
      <c r="E46" s="97" t="s">
        <v>169</v>
      </c>
      <c r="F46" s="97" t="s">
        <v>170</v>
      </c>
      <c r="G46" s="107">
        <v>46000</v>
      </c>
      <c r="H46" s="100">
        <v>46001</v>
      </c>
      <c r="I46" s="97" t="s">
        <v>171</v>
      </c>
      <c r="J46" s="97"/>
      <c r="K46" s="97"/>
      <c r="L46" s="97"/>
    </row>
    <row r="47" spans="1:12">
      <c r="A47" s="96">
        <v>39</v>
      </c>
      <c r="B47" s="97"/>
      <c r="C47" s="97"/>
      <c r="D47" s="97"/>
      <c r="E47" s="97" t="s">
        <v>169</v>
      </c>
      <c r="F47" s="97" t="s">
        <v>170</v>
      </c>
      <c r="G47" s="107">
        <v>46000</v>
      </c>
      <c r="H47" s="100">
        <v>46001</v>
      </c>
      <c r="I47" s="97" t="s">
        <v>171</v>
      </c>
      <c r="J47" s="97"/>
      <c r="K47" s="97"/>
      <c r="L47" s="97"/>
    </row>
    <row r="48" spans="1:12">
      <c r="A48" s="96">
        <v>40</v>
      </c>
      <c r="B48" s="97"/>
      <c r="C48" s="78"/>
      <c r="D48" s="97"/>
      <c r="E48" s="97" t="s">
        <v>169</v>
      </c>
      <c r="F48" s="99" t="s">
        <v>106</v>
      </c>
      <c r="G48" s="107">
        <v>46000</v>
      </c>
      <c r="H48" s="100">
        <v>46001</v>
      </c>
      <c r="I48" s="97" t="s">
        <v>171</v>
      </c>
      <c r="J48" s="97"/>
      <c r="K48" s="97"/>
      <c r="L48" s="97"/>
    </row>
    <row r="49" spans="1:12">
      <c r="A49" s="96">
        <v>41</v>
      </c>
      <c r="B49" s="97"/>
      <c r="C49" s="78"/>
      <c r="D49" s="97"/>
      <c r="E49" s="99" t="s">
        <v>113</v>
      </c>
      <c r="F49" s="99" t="s">
        <v>106</v>
      </c>
      <c r="G49" s="107">
        <v>46000</v>
      </c>
      <c r="H49" s="100">
        <v>46001</v>
      </c>
      <c r="I49" s="97" t="s">
        <v>171</v>
      </c>
      <c r="J49" s="97"/>
      <c r="K49" s="97"/>
      <c r="L49" s="97"/>
    </row>
    <row r="50" spans="1:12">
      <c r="A50" s="96">
        <v>42</v>
      </c>
      <c r="B50" s="97"/>
      <c r="C50" s="78"/>
      <c r="D50" s="97"/>
      <c r="E50" s="97" t="s">
        <v>169</v>
      </c>
      <c r="F50" s="99" t="s">
        <v>106</v>
      </c>
      <c r="G50" s="107">
        <v>46000</v>
      </c>
      <c r="H50" s="100">
        <v>46001</v>
      </c>
      <c r="I50" s="97" t="s">
        <v>171</v>
      </c>
      <c r="J50" s="97"/>
      <c r="K50" s="97"/>
      <c r="L50" s="97"/>
    </row>
    <row r="51" spans="1:12">
      <c r="A51" s="96">
        <v>43</v>
      </c>
      <c r="B51" s="97"/>
      <c r="C51" s="78"/>
      <c r="D51" s="97"/>
      <c r="E51" s="97" t="s">
        <v>169</v>
      </c>
      <c r="F51" s="99" t="s">
        <v>106</v>
      </c>
      <c r="G51" s="107">
        <v>46000</v>
      </c>
      <c r="H51" s="100">
        <v>46001</v>
      </c>
      <c r="I51" s="97" t="s">
        <v>171</v>
      </c>
      <c r="J51" s="97"/>
      <c r="K51" s="97"/>
      <c r="L51" s="97"/>
    </row>
    <row r="52" spans="1:12">
      <c r="A52" s="96">
        <v>44</v>
      </c>
      <c r="B52" s="62"/>
      <c r="C52" s="70"/>
      <c r="D52" s="97"/>
      <c r="E52" s="99" t="s">
        <v>113</v>
      </c>
      <c r="F52" s="99" t="s">
        <v>106</v>
      </c>
      <c r="G52" s="107">
        <v>46000</v>
      </c>
      <c r="H52" s="100">
        <v>46001</v>
      </c>
      <c r="I52" s="97" t="s">
        <v>171</v>
      </c>
      <c r="J52" s="97"/>
      <c r="K52" s="97"/>
      <c r="L52" s="97"/>
    </row>
    <row r="53" spans="1:12">
      <c r="A53" s="96">
        <v>45</v>
      </c>
      <c r="B53" s="97"/>
      <c r="C53" s="78"/>
      <c r="D53" s="97"/>
      <c r="E53" s="97"/>
      <c r="F53" s="97"/>
      <c r="G53" s="107"/>
      <c r="H53" s="100"/>
      <c r="I53" s="97"/>
      <c r="J53" s="97"/>
      <c r="K53" s="97"/>
      <c r="L53" s="97"/>
    </row>
    <row r="54" spans="1:12">
      <c r="A54" s="96">
        <v>46</v>
      </c>
      <c r="B54" s="97"/>
      <c r="C54" s="78"/>
      <c r="D54" s="97"/>
      <c r="E54" s="97"/>
      <c r="F54" s="97"/>
      <c r="G54" s="107"/>
      <c r="H54" s="100"/>
      <c r="I54" s="97"/>
      <c r="J54" s="97"/>
      <c r="K54" s="97"/>
      <c r="L54" s="97"/>
    </row>
    <row r="55" spans="1:12">
      <c r="A55" s="96"/>
      <c r="B55" s="97"/>
      <c r="C55" s="78"/>
      <c r="D55" s="97"/>
      <c r="E55" s="97"/>
      <c r="F55" s="97"/>
      <c r="G55" s="107"/>
      <c r="H55" s="100"/>
      <c r="I55" s="97"/>
      <c r="J55" s="97"/>
      <c r="K55" s="97"/>
      <c r="L55" s="97"/>
    </row>
    <row r="56" spans="1:12">
      <c r="A56" s="96"/>
      <c r="B56" s="97"/>
      <c r="C56" s="78"/>
      <c r="D56" s="97"/>
      <c r="E56" s="97"/>
      <c r="F56" s="97"/>
      <c r="G56" s="107"/>
      <c r="H56" s="100"/>
      <c r="I56" s="97"/>
      <c r="J56" s="97"/>
      <c r="K56" s="97"/>
      <c r="L56" s="97"/>
    </row>
    <row r="57" spans="1:12">
      <c r="A57" s="96"/>
      <c r="B57" s="97"/>
      <c r="C57" s="78"/>
      <c r="D57" s="97"/>
      <c r="E57" s="97"/>
      <c r="F57" s="97"/>
      <c r="G57" s="107"/>
      <c r="H57" s="100"/>
      <c r="I57" s="97"/>
      <c r="J57" s="97"/>
      <c r="K57" s="97"/>
      <c r="L57" s="97"/>
    </row>
    <row r="58" spans="1:12">
      <c r="A58" s="96"/>
      <c r="B58" s="97"/>
      <c r="C58" s="78"/>
      <c r="D58" s="97"/>
      <c r="E58" s="97"/>
      <c r="F58" s="97"/>
      <c r="G58" s="107"/>
      <c r="H58" s="100"/>
      <c r="I58" s="97"/>
      <c r="J58" s="97"/>
      <c r="K58" s="97"/>
      <c r="L58" s="97"/>
    </row>
    <row r="59" spans="1:12">
      <c r="A59" s="96"/>
      <c r="B59" s="97"/>
      <c r="C59" s="78"/>
      <c r="D59" s="97"/>
      <c r="E59" s="97"/>
      <c r="F59" s="97"/>
      <c r="G59" s="107"/>
      <c r="H59" s="100"/>
      <c r="I59" s="97"/>
      <c r="J59" s="97"/>
      <c r="K59" s="97"/>
      <c r="L59" s="97"/>
    </row>
    <row r="60" spans="1:12">
      <c r="A60" s="96"/>
      <c r="B60" s="97"/>
      <c r="C60" s="78"/>
      <c r="D60" s="97"/>
      <c r="E60" s="97"/>
      <c r="F60" s="97"/>
      <c r="G60" s="107"/>
      <c r="H60" s="100"/>
      <c r="I60" s="97"/>
      <c r="J60" s="97"/>
      <c r="K60" s="97"/>
      <c r="L60" s="97"/>
    </row>
    <row r="61" spans="1:12">
      <c r="A61" s="96"/>
      <c r="B61" s="97"/>
      <c r="C61" s="78"/>
      <c r="D61" s="97"/>
      <c r="E61" s="97"/>
      <c r="F61" s="97"/>
      <c r="G61" s="107"/>
      <c r="H61" s="100"/>
      <c r="I61" s="97"/>
      <c r="J61" s="97"/>
      <c r="K61" s="97"/>
      <c r="L61" s="97"/>
    </row>
    <row r="62" spans="1:12">
      <c r="A62" s="96"/>
      <c r="B62" s="97"/>
      <c r="C62" s="78"/>
      <c r="D62" s="97"/>
      <c r="E62" s="97"/>
      <c r="F62" s="97"/>
      <c r="G62" s="107"/>
      <c r="H62" s="100"/>
      <c r="I62" s="97"/>
      <c r="J62" s="97"/>
      <c r="K62" s="97"/>
      <c r="L62" s="97"/>
    </row>
    <row r="63" spans="1:12">
      <c r="A63" s="96"/>
      <c r="B63" s="97"/>
      <c r="C63" s="78"/>
      <c r="D63" s="97"/>
      <c r="E63" s="97"/>
      <c r="F63" s="97"/>
      <c r="G63" s="107"/>
      <c r="H63" s="100"/>
      <c r="I63" s="97"/>
      <c r="J63" s="97"/>
      <c r="K63" s="97"/>
      <c r="L63" s="97"/>
    </row>
    <row r="64" spans="1:12">
      <c r="A64" s="96"/>
      <c r="B64" s="97"/>
      <c r="C64" s="78"/>
      <c r="D64" s="97"/>
      <c r="E64" s="97"/>
      <c r="F64" s="97"/>
      <c r="G64" s="107"/>
      <c r="H64" s="100"/>
      <c r="I64" s="97"/>
      <c r="J64" s="97"/>
      <c r="K64" s="97"/>
      <c r="L64" s="97"/>
    </row>
    <row r="65" spans="1:12">
      <c r="A65" s="96"/>
      <c r="B65" s="97"/>
      <c r="C65" s="78"/>
      <c r="D65" s="97"/>
      <c r="E65" s="97"/>
      <c r="F65" s="97"/>
      <c r="G65" s="107"/>
      <c r="H65" s="100"/>
      <c r="I65" s="97"/>
      <c r="J65" s="97"/>
      <c r="K65" s="97"/>
      <c r="L65" s="97"/>
    </row>
    <row r="66" spans="1:12">
      <c r="A66" s="96"/>
      <c r="B66" s="97"/>
      <c r="C66" s="78"/>
      <c r="D66" s="97"/>
      <c r="E66" s="97"/>
      <c r="F66" s="97"/>
      <c r="G66" s="107"/>
      <c r="H66" s="100"/>
      <c r="I66" s="97"/>
      <c r="J66" s="97"/>
      <c r="K66" s="97"/>
      <c r="L66" s="97"/>
    </row>
    <row r="67" spans="1:12">
      <c r="A67" s="96"/>
      <c r="B67" s="97"/>
      <c r="C67" s="78"/>
      <c r="D67" s="97"/>
      <c r="E67" s="97"/>
      <c r="F67" s="97"/>
      <c r="G67" s="107"/>
      <c r="H67" s="100"/>
      <c r="I67" s="97"/>
      <c r="J67" s="97"/>
      <c r="K67" s="97"/>
      <c r="L67" s="97"/>
    </row>
    <row r="68" spans="1:12">
      <c r="A68" s="96"/>
      <c r="B68" s="97"/>
      <c r="C68" s="78"/>
      <c r="D68" s="97"/>
      <c r="E68" s="97"/>
      <c r="F68" s="97"/>
      <c r="G68" s="107"/>
      <c r="H68" s="100"/>
      <c r="I68" s="97"/>
      <c r="J68" s="97"/>
      <c r="K68" s="97"/>
      <c r="L68" s="97"/>
    </row>
    <row r="69" spans="1:12">
      <c r="A69" s="96"/>
      <c r="B69" s="97"/>
      <c r="C69" s="78"/>
      <c r="D69" s="97"/>
      <c r="E69" s="97"/>
      <c r="F69" s="97"/>
      <c r="G69" s="107"/>
      <c r="H69" s="100"/>
      <c r="I69" s="97"/>
      <c r="J69" s="97"/>
      <c r="K69" s="97"/>
      <c r="L69" s="97"/>
    </row>
    <row r="70" spans="1:12">
      <c r="A70" s="96"/>
      <c r="B70" s="97"/>
      <c r="C70" s="78"/>
      <c r="D70" s="97"/>
      <c r="E70" s="97"/>
      <c r="F70" s="97"/>
      <c r="G70" s="107"/>
      <c r="H70" s="100"/>
      <c r="I70" s="97"/>
      <c r="J70" s="97"/>
      <c r="K70" s="97"/>
      <c r="L70" s="97"/>
    </row>
  </sheetData>
  <sortState ref="B9:J52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information" allowBlank="1" showInputMessage="1" showErrorMessage="1" errorTitle="Please Check Entry" error="It is recommended to pick a course from the list." xr:uid="{ADD55200-BF3C-4C8A-95F9-8CFE4FCD29C9}">
          <x14:formula1>
            <xm:f>#REF!</xm:f>
          </x14:formula1>
          <xm:sqref>C27</xm:sqref>
        </x14:dataValidation>
        <x14:dataValidation type="list" errorStyle="information" allowBlank="1" showInputMessage="1" showErrorMessage="1" errorTitle="Please Check Entry" error="It is recommended to pick a course from the list." xr:uid="{E589AAD0-664C-4691-96A2-BB43AA82B25C}">
          <x14:formula1>
            <xm:f>#REF!</xm:f>
          </x14:formula1>
          <xm:sqref>C23 C25 C28 C35:C37 C33 C39</xm:sqref>
        </x14:dataValidation>
        <x14:dataValidation type="list" errorStyle="information" allowBlank="1" showInputMessage="1" showErrorMessage="1" errorTitle="Please Check Entry" error="It is recommended to pick a course from the list." xr:uid="{EE1B78AF-4DC0-4ED8-B291-96A1EA6E1636}">
          <x14:formula1>
            <xm:f>#REF!</xm:f>
          </x14:formula1>
          <xm:sqref>C20 C22 C30</xm:sqref>
        </x14:dataValidation>
        <x14:dataValidation type="list" errorStyle="information" allowBlank="1" showInputMessage="1" showErrorMessage="1" errorTitle="Please Check Entry" error="It is recommended to pick a course from the list." xr:uid="{99ACE70D-B2B6-408E-936D-B58B56A5CFEC}">
          <x14:formula1>
            <xm:f>#REF!</xm:f>
          </x14:formula1>
          <xm:sqref>C24 C31:C32 C38 C34 C21 C26 C9:C19 C29 C40:C46 C48:C70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42"/>
  <sheetViews>
    <sheetView topLeftCell="A23" zoomScale="98" zoomScaleNormal="45" workbookViewId="0">
      <selection activeCell="J45" sqref="J45"/>
    </sheetView>
  </sheetViews>
  <sheetFormatPr defaultRowHeight="14.25"/>
  <cols>
    <col min="1" max="1" width="4.125" customWidth="1"/>
    <col min="2" max="2" width="23.375" customWidth="1"/>
    <col min="3" max="3" width="13.375" customWidth="1"/>
    <col min="4" max="5" width="10.75" customWidth="1"/>
    <col min="6" max="6" width="15.5" customWidth="1"/>
    <col min="7" max="7" width="10.875" customWidth="1"/>
    <col min="8" max="8" width="11.25" customWidth="1"/>
    <col min="9" max="9" width="7.25" customWidth="1"/>
  </cols>
  <sheetData>
    <row r="1" spans="1:19" ht="22.5">
      <c r="A1" s="115">
        <v>46002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9">
      <c r="A2" s="116"/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9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9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9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9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9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9" ht="45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9">
      <c r="A9" s="12">
        <v>1</v>
      </c>
      <c r="B9" s="20"/>
      <c r="C9" s="20"/>
      <c r="D9" s="74"/>
      <c r="E9" s="17">
        <v>1</v>
      </c>
      <c r="F9" s="17" t="s">
        <v>115</v>
      </c>
      <c r="G9" s="37">
        <v>45994</v>
      </c>
      <c r="H9" s="37">
        <v>46002</v>
      </c>
      <c r="I9" s="19"/>
      <c r="J9" s="20"/>
      <c r="K9" s="20"/>
      <c r="L9" s="20"/>
      <c r="O9" s="81"/>
      <c r="P9" s="81"/>
      <c r="Q9" s="81"/>
      <c r="R9" s="81"/>
      <c r="S9" s="81"/>
    </row>
    <row r="10" spans="1:19">
      <c r="A10" s="12">
        <v>2</v>
      </c>
      <c r="B10" s="20"/>
      <c r="C10" s="69"/>
      <c r="D10" s="74"/>
      <c r="E10" s="66">
        <v>1</v>
      </c>
      <c r="F10" s="66" t="s">
        <v>115</v>
      </c>
      <c r="G10" s="73">
        <v>45994</v>
      </c>
      <c r="H10" s="73">
        <v>46002</v>
      </c>
      <c r="I10" s="68"/>
      <c r="J10" s="22"/>
      <c r="K10" s="23"/>
      <c r="L10" s="23"/>
      <c r="O10" s="81"/>
      <c r="P10" s="81"/>
      <c r="Q10" s="81"/>
      <c r="R10" s="81"/>
      <c r="S10" s="81"/>
    </row>
    <row r="11" spans="1:19">
      <c r="A11" s="12">
        <v>3</v>
      </c>
      <c r="B11" s="20"/>
      <c r="C11" s="69"/>
      <c r="D11" s="74"/>
      <c r="E11" s="66">
        <v>1</v>
      </c>
      <c r="F11" s="66" t="s">
        <v>73</v>
      </c>
      <c r="G11" s="73">
        <v>45994</v>
      </c>
      <c r="H11" s="73">
        <v>46002</v>
      </c>
      <c r="I11" s="68"/>
      <c r="J11" s="22"/>
      <c r="K11" s="20"/>
      <c r="L11" s="20"/>
      <c r="O11" s="81"/>
      <c r="P11" s="81"/>
      <c r="Q11" s="81"/>
      <c r="R11" s="81"/>
      <c r="S11" s="81"/>
    </row>
    <row r="12" spans="1:19">
      <c r="A12" s="12">
        <v>4</v>
      </c>
      <c r="B12" s="20"/>
      <c r="C12" s="69"/>
      <c r="D12" s="69"/>
      <c r="E12" s="17">
        <v>1</v>
      </c>
      <c r="F12" s="17" t="s">
        <v>75</v>
      </c>
      <c r="G12" s="67" t="s">
        <v>73</v>
      </c>
      <c r="H12" s="73">
        <v>46002</v>
      </c>
      <c r="I12" s="69"/>
      <c r="J12" s="20"/>
      <c r="K12" s="20"/>
      <c r="L12" s="20"/>
      <c r="O12" s="81"/>
      <c r="P12" s="81"/>
      <c r="Q12" s="81"/>
      <c r="R12" s="81"/>
      <c r="S12" s="81"/>
    </row>
    <row r="13" spans="1:19">
      <c r="A13" s="12">
        <v>5</v>
      </c>
      <c r="B13" s="77"/>
      <c r="C13" s="69"/>
      <c r="D13" s="74"/>
      <c r="E13" s="17">
        <v>1</v>
      </c>
      <c r="F13" s="17" t="s">
        <v>115</v>
      </c>
      <c r="G13" s="73">
        <v>45994</v>
      </c>
      <c r="H13" s="73">
        <v>46002</v>
      </c>
      <c r="I13" s="68"/>
      <c r="J13" s="22"/>
      <c r="K13" s="23"/>
      <c r="L13" s="23"/>
      <c r="N13" s="69"/>
      <c r="O13" s="81"/>
      <c r="P13" s="81"/>
      <c r="Q13" s="81"/>
      <c r="R13" s="81"/>
      <c r="S13" s="81"/>
    </row>
    <row r="14" spans="1:19">
      <c r="A14" s="12">
        <v>6</v>
      </c>
      <c r="B14" s="20"/>
      <c r="C14" s="69"/>
      <c r="D14" s="69"/>
      <c r="E14" s="66">
        <v>1</v>
      </c>
      <c r="F14" s="66" t="s">
        <v>75</v>
      </c>
      <c r="G14" s="73">
        <v>45994</v>
      </c>
      <c r="H14" s="73">
        <v>46002</v>
      </c>
      <c r="I14" s="68"/>
      <c r="J14" s="22"/>
      <c r="K14" s="23"/>
      <c r="L14" s="23"/>
      <c r="N14" s="69"/>
      <c r="O14" s="81"/>
    </row>
    <row r="15" spans="1:19">
      <c r="A15" s="12">
        <v>7</v>
      </c>
      <c r="B15" s="20"/>
      <c r="C15" s="69"/>
      <c r="D15" s="74"/>
      <c r="E15" s="66">
        <v>1</v>
      </c>
      <c r="F15" s="66" t="s">
        <v>115</v>
      </c>
      <c r="G15" s="73">
        <v>45994</v>
      </c>
      <c r="H15" s="73">
        <v>46002</v>
      </c>
      <c r="I15" s="68"/>
      <c r="J15" s="20"/>
      <c r="K15" s="20"/>
      <c r="L15" s="20"/>
      <c r="N15" s="69"/>
      <c r="O15" s="81"/>
    </row>
    <row r="16" spans="1:19">
      <c r="A16" s="12">
        <v>8</v>
      </c>
      <c r="B16" s="20"/>
      <c r="C16" s="69"/>
      <c r="D16" s="20"/>
      <c r="E16" s="66">
        <v>1</v>
      </c>
      <c r="F16" s="66" t="s">
        <v>73</v>
      </c>
      <c r="G16" s="73">
        <v>45994</v>
      </c>
      <c r="H16" s="73">
        <v>46002</v>
      </c>
      <c r="I16" s="68"/>
      <c r="J16" s="20"/>
      <c r="K16" s="23"/>
      <c r="L16" s="23"/>
      <c r="O16" s="81"/>
    </row>
    <row r="17" spans="1:15">
      <c r="A17" s="12">
        <v>9</v>
      </c>
      <c r="B17" s="62"/>
      <c r="C17" s="69"/>
      <c r="D17" s="66"/>
      <c r="E17" s="66">
        <v>1</v>
      </c>
      <c r="F17" s="66" t="s">
        <v>75</v>
      </c>
      <c r="G17" s="73">
        <v>45994</v>
      </c>
      <c r="H17" s="73">
        <v>46002</v>
      </c>
      <c r="I17" s="68"/>
      <c r="J17" s="22"/>
      <c r="K17" s="23"/>
      <c r="L17" s="23"/>
      <c r="O17" s="81"/>
    </row>
    <row r="18" spans="1:15">
      <c r="A18" s="12">
        <v>10</v>
      </c>
      <c r="B18" s="20"/>
      <c r="C18" s="69"/>
      <c r="D18" s="20"/>
      <c r="E18" s="66">
        <v>1</v>
      </c>
      <c r="F18" s="66" t="s">
        <v>75</v>
      </c>
      <c r="G18" s="73">
        <v>45994</v>
      </c>
      <c r="H18" s="73">
        <v>46002</v>
      </c>
      <c r="I18" s="68"/>
      <c r="J18" s="22"/>
      <c r="K18" s="20"/>
      <c r="L18" s="20"/>
      <c r="O18" s="81"/>
    </row>
    <row r="19" spans="1:15">
      <c r="A19" s="12">
        <v>11</v>
      </c>
      <c r="B19" s="20"/>
      <c r="C19" s="69"/>
      <c r="D19" s="74"/>
      <c r="E19" s="66">
        <v>1</v>
      </c>
      <c r="F19" s="66" t="s">
        <v>75</v>
      </c>
      <c r="G19" s="73">
        <v>45994</v>
      </c>
      <c r="H19" s="73">
        <v>46002</v>
      </c>
      <c r="I19" s="68"/>
      <c r="J19" s="20"/>
      <c r="K19" s="20"/>
      <c r="L19" s="20"/>
      <c r="O19" s="81"/>
    </row>
    <row r="20" spans="1:15">
      <c r="A20" s="12">
        <v>12</v>
      </c>
      <c r="B20" s="12"/>
      <c r="C20" s="69"/>
      <c r="D20" s="74"/>
      <c r="E20" s="66">
        <v>1</v>
      </c>
      <c r="F20" s="66" t="s">
        <v>115</v>
      </c>
      <c r="G20" s="73">
        <v>45994</v>
      </c>
      <c r="H20" s="73">
        <v>46002</v>
      </c>
      <c r="I20" s="68"/>
      <c r="J20" s="20"/>
      <c r="K20" s="23"/>
      <c r="L20" s="23"/>
      <c r="O20" s="81"/>
    </row>
    <row r="21" spans="1:15" ht="13.5" customHeight="1">
      <c r="A21" s="12">
        <v>13</v>
      </c>
      <c r="B21" s="20"/>
      <c r="C21" s="69"/>
      <c r="D21" s="20"/>
      <c r="E21" s="66">
        <v>1</v>
      </c>
      <c r="F21" s="66" t="s">
        <v>75</v>
      </c>
      <c r="G21" s="73">
        <v>45994</v>
      </c>
      <c r="H21" s="73">
        <v>46002</v>
      </c>
      <c r="I21" s="68"/>
      <c r="J21" s="20"/>
      <c r="K21" s="23"/>
      <c r="L21" s="23"/>
      <c r="O21" s="81"/>
    </row>
    <row r="22" spans="1:15">
      <c r="A22" s="12">
        <v>14</v>
      </c>
      <c r="B22" s="20"/>
      <c r="C22" s="69"/>
      <c r="D22" s="74"/>
      <c r="E22" s="66">
        <v>1</v>
      </c>
      <c r="F22" s="66" t="s">
        <v>115</v>
      </c>
      <c r="G22" s="73">
        <v>45994</v>
      </c>
      <c r="H22" s="73">
        <v>46002</v>
      </c>
      <c r="I22" s="68"/>
      <c r="J22" s="22"/>
      <c r="K22" s="20"/>
      <c r="L22" s="20"/>
      <c r="O22" s="81"/>
    </row>
    <row r="23" spans="1:15">
      <c r="A23" s="12">
        <v>15</v>
      </c>
      <c r="B23" s="69"/>
      <c r="C23" s="69"/>
      <c r="D23" s="69"/>
      <c r="E23" s="66">
        <v>1</v>
      </c>
      <c r="F23" s="66" t="s">
        <v>75</v>
      </c>
      <c r="G23" s="73">
        <v>45994</v>
      </c>
      <c r="H23" s="73">
        <v>46002</v>
      </c>
      <c r="I23" s="68"/>
      <c r="J23" s="20"/>
      <c r="K23" s="20"/>
      <c r="L23" s="20"/>
      <c r="O23" s="81"/>
    </row>
    <row r="24" spans="1:15">
      <c r="A24" s="12">
        <v>16</v>
      </c>
      <c r="B24" s="20"/>
      <c r="C24" s="69"/>
      <c r="D24" s="74"/>
      <c r="E24" s="66">
        <v>1</v>
      </c>
      <c r="F24" s="66" t="s">
        <v>92</v>
      </c>
      <c r="G24" s="73">
        <v>45994</v>
      </c>
      <c r="H24" s="73">
        <v>46002</v>
      </c>
      <c r="I24" s="68"/>
      <c r="J24" s="22"/>
      <c r="K24" s="23"/>
      <c r="L24" s="23"/>
      <c r="O24" s="81"/>
    </row>
    <row r="25" spans="1:15">
      <c r="A25" s="12">
        <v>17</v>
      </c>
      <c r="B25" s="62"/>
      <c r="C25" s="69"/>
      <c r="D25" s="74"/>
      <c r="E25" s="66">
        <v>1</v>
      </c>
      <c r="F25" s="66" t="s">
        <v>73</v>
      </c>
      <c r="G25" s="73">
        <v>45997</v>
      </c>
      <c r="H25" s="73">
        <v>46002</v>
      </c>
      <c r="I25" s="68"/>
      <c r="J25" s="20"/>
      <c r="K25" s="23"/>
      <c r="L25" s="23"/>
      <c r="O25" s="81"/>
    </row>
    <row r="26" spans="1:15">
      <c r="A26" s="12">
        <v>18</v>
      </c>
      <c r="B26" s="20"/>
      <c r="C26" s="69"/>
      <c r="D26" s="74"/>
      <c r="E26" s="66">
        <v>1</v>
      </c>
      <c r="F26" s="66" t="s">
        <v>115</v>
      </c>
      <c r="G26" s="73">
        <v>45994</v>
      </c>
      <c r="H26" s="73">
        <v>46002</v>
      </c>
      <c r="I26" s="68"/>
      <c r="J26" s="22"/>
      <c r="K26" s="23"/>
      <c r="L26" s="23"/>
      <c r="O26" s="81"/>
    </row>
    <row r="27" spans="1:15">
      <c r="A27" s="12">
        <v>19</v>
      </c>
      <c r="B27" s="20"/>
      <c r="C27" s="69"/>
      <c r="D27" s="74"/>
      <c r="E27" s="66">
        <v>1</v>
      </c>
      <c r="F27" s="66" t="s">
        <v>115</v>
      </c>
      <c r="G27" s="73">
        <v>45994</v>
      </c>
      <c r="H27" s="73">
        <v>46002</v>
      </c>
      <c r="I27" s="68"/>
      <c r="J27" s="20"/>
      <c r="K27" s="20"/>
      <c r="L27" s="20"/>
      <c r="O27" s="81"/>
    </row>
    <row r="28" spans="1:15">
      <c r="A28" s="12">
        <v>20</v>
      </c>
      <c r="B28" s="20"/>
      <c r="C28" s="69"/>
      <c r="D28" s="74"/>
      <c r="E28" s="66">
        <v>1</v>
      </c>
      <c r="F28" s="66" t="s">
        <v>115</v>
      </c>
      <c r="G28" s="73">
        <v>45994</v>
      </c>
      <c r="H28" s="73">
        <v>46002</v>
      </c>
      <c r="I28" s="68"/>
      <c r="J28" s="22"/>
      <c r="K28" s="23"/>
      <c r="L28" s="23"/>
      <c r="O28" s="81"/>
    </row>
    <row r="29" spans="1:15">
      <c r="A29" s="12">
        <v>21</v>
      </c>
      <c r="B29" s="20"/>
      <c r="C29" s="69"/>
      <c r="D29" s="69"/>
      <c r="E29" s="66">
        <v>1</v>
      </c>
      <c r="F29" s="66" t="s">
        <v>75</v>
      </c>
      <c r="G29" s="73">
        <v>45994</v>
      </c>
      <c r="H29" s="73">
        <v>46002</v>
      </c>
      <c r="I29" s="68"/>
      <c r="J29" s="22"/>
      <c r="K29" s="23"/>
      <c r="L29" s="23"/>
      <c r="O29" s="81"/>
    </row>
    <row r="30" spans="1:15">
      <c r="A30" s="12">
        <v>22</v>
      </c>
      <c r="B30" s="62"/>
      <c r="C30" s="69"/>
      <c r="D30" s="66"/>
      <c r="E30" s="66">
        <v>1</v>
      </c>
      <c r="F30" s="66" t="s">
        <v>75</v>
      </c>
      <c r="G30" s="67">
        <v>45995</v>
      </c>
      <c r="H30" s="73">
        <v>46002</v>
      </c>
      <c r="I30" s="69"/>
      <c r="J30" s="22"/>
      <c r="K30" s="20"/>
      <c r="L30" s="20"/>
      <c r="O30" s="81"/>
    </row>
    <row r="31" spans="1:15">
      <c r="A31" s="12">
        <v>23</v>
      </c>
      <c r="B31" s="62"/>
      <c r="C31" s="69"/>
      <c r="D31" s="66"/>
      <c r="E31" s="65">
        <v>1</v>
      </c>
      <c r="F31" s="66" t="s">
        <v>92</v>
      </c>
      <c r="G31" s="67">
        <v>45997</v>
      </c>
      <c r="H31" s="73">
        <v>46002</v>
      </c>
      <c r="I31" s="69"/>
      <c r="J31" s="20"/>
      <c r="K31" s="23"/>
      <c r="L31" s="23"/>
      <c r="O31" s="81"/>
    </row>
    <row r="32" spans="1:15">
      <c r="A32" s="12">
        <v>24</v>
      </c>
      <c r="B32" s="20"/>
      <c r="C32" s="69"/>
      <c r="D32" s="20"/>
      <c r="E32" s="66">
        <v>1</v>
      </c>
      <c r="F32" s="66" t="s">
        <v>75</v>
      </c>
      <c r="G32" s="67">
        <v>45995</v>
      </c>
      <c r="H32" s="73">
        <v>46002</v>
      </c>
      <c r="I32" s="69"/>
      <c r="J32" s="22"/>
      <c r="K32" s="20"/>
      <c r="L32" s="20"/>
      <c r="O32" s="81"/>
    </row>
    <row r="33" spans="1:15">
      <c r="A33" s="12">
        <v>25</v>
      </c>
      <c r="B33" s="69"/>
      <c r="C33" s="69"/>
      <c r="D33" s="69"/>
      <c r="E33" s="66">
        <v>1</v>
      </c>
      <c r="F33" s="66" t="s">
        <v>75</v>
      </c>
      <c r="G33" s="73">
        <v>45994</v>
      </c>
      <c r="H33" s="73">
        <v>46002</v>
      </c>
      <c r="I33" s="68"/>
      <c r="J33" s="22"/>
      <c r="K33" s="20"/>
      <c r="L33" s="20"/>
      <c r="O33" s="81"/>
    </row>
    <row r="34" spans="1:15">
      <c r="A34" s="12">
        <v>26</v>
      </c>
      <c r="B34" s="69"/>
      <c r="C34" s="69"/>
      <c r="D34" s="69"/>
      <c r="E34" s="66">
        <v>1</v>
      </c>
      <c r="F34" s="66" t="s">
        <v>75</v>
      </c>
      <c r="G34" s="73">
        <v>45994</v>
      </c>
      <c r="H34" s="73">
        <v>46002</v>
      </c>
      <c r="I34" s="68"/>
      <c r="J34" s="20"/>
      <c r="K34" s="20"/>
      <c r="L34" s="20"/>
      <c r="O34" s="81"/>
    </row>
    <row r="35" spans="1:15">
      <c r="A35" s="12">
        <v>27</v>
      </c>
      <c r="B35" s="69"/>
      <c r="C35" s="69"/>
      <c r="D35" s="74"/>
      <c r="E35" s="66">
        <v>1</v>
      </c>
      <c r="F35" s="17" t="s">
        <v>115</v>
      </c>
      <c r="G35" s="73">
        <v>45994</v>
      </c>
      <c r="H35" s="73">
        <v>46002</v>
      </c>
      <c r="I35" s="68"/>
      <c r="J35" s="20"/>
      <c r="K35" s="20"/>
      <c r="L35" s="20"/>
      <c r="O35" s="81"/>
    </row>
    <row r="36" spans="1:15">
      <c r="A36" s="12">
        <v>28</v>
      </c>
      <c r="B36" s="12"/>
      <c r="C36" s="69"/>
      <c r="D36" s="17"/>
      <c r="E36" s="66">
        <v>1</v>
      </c>
      <c r="F36" s="66" t="s">
        <v>75</v>
      </c>
      <c r="G36" s="18">
        <v>45995</v>
      </c>
      <c r="H36" s="73">
        <v>46002</v>
      </c>
      <c r="I36" s="69"/>
      <c r="J36" s="20"/>
      <c r="K36" s="20"/>
      <c r="L36" s="20"/>
      <c r="O36" s="81"/>
    </row>
    <row r="37" spans="1:15">
      <c r="A37" s="12">
        <v>29</v>
      </c>
      <c r="B37" s="12"/>
      <c r="C37" s="69"/>
      <c r="D37" s="17"/>
      <c r="E37" s="66">
        <v>1</v>
      </c>
      <c r="F37" s="66" t="s">
        <v>75</v>
      </c>
      <c r="G37" s="67">
        <v>45995</v>
      </c>
      <c r="H37" s="73">
        <v>46002</v>
      </c>
      <c r="I37" s="69"/>
      <c r="J37" s="20"/>
      <c r="K37" s="20"/>
      <c r="L37" s="20"/>
      <c r="O37" s="81"/>
    </row>
    <row r="38" spans="1:15">
      <c r="A38" s="12">
        <v>30</v>
      </c>
      <c r="B38" s="12"/>
      <c r="C38" s="69"/>
      <c r="D38" s="17"/>
      <c r="E38" s="66">
        <v>1</v>
      </c>
      <c r="F38" s="66" t="s">
        <v>75</v>
      </c>
      <c r="G38" s="67">
        <v>45995</v>
      </c>
      <c r="H38" s="73">
        <v>46002</v>
      </c>
      <c r="I38" s="69"/>
      <c r="J38" s="20"/>
      <c r="K38" s="20"/>
      <c r="L38" s="20"/>
      <c r="O38" s="81"/>
    </row>
    <row r="39" spans="1:15">
      <c r="A39" s="12">
        <v>31</v>
      </c>
      <c r="B39" s="69"/>
      <c r="C39" s="69"/>
      <c r="D39" s="74"/>
      <c r="E39" s="66">
        <v>1</v>
      </c>
      <c r="F39" s="66" t="s">
        <v>73</v>
      </c>
      <c r="G39" s="73">
        <v>45994</v>
      </c>
      <c r="H39" s="73">
        <v>46002</v>
      </c>
      <c r="I39" s="68"/>
      <c r="J39" s="20"/>
      <c r="K39" s="20"/>
      <c r="L39" s="20"/>
      <c r="O39" s="81"/>
    </row>
    <row r="40" spans="1:15">
      <c r="A40" s="12">
        <v>32</v>
      </c>
      <c r="B40" s="62"/>
      <c r="C40" s="69"/>
      <c r="D40" s="66"/>
      <c r="E40" s="66">
        <v>1</v>
      </c>
      <c r="F40" s="66" t="s">
        <v>75</v>
      </c>
      <c r="G40" s="73">
        <v>45997</v>
      </c>
      <c r="H40" s="73">
        <v>46002</v>
      </c>
      <c r="I40" s="68"/>
      <c r="J40" s="20"/>
      <c r="K40" s="20"/>
      <c r="L40" s="20"/>
      <c r="O40" s="81"/>
    </row>
    <row r="41" spans="1:15">
      <c r="A41" s="12">
        <v>33</v>
      </c>
      <c r="B41" s="59"/>
      <c r="C41" s="69"/>
      <c r="D41" s="20"/>
      <c r="E41" s="66">
        <v>1</v>
      </c>
      <c r="F41" s="66" t="s">
        <v>75</v>
      </c>
      <c r="G41" s="73">
        <v>45994</v>
      </c>
      <c r="H41" s="73">
        <v>46002</v>
      </c>
      <c r="I41" s="68"/>
      <c r="J41" s="20"/>
      <c r="K41" s="20"/>
      <c r="L41" s="20"/>
      <c r="O41" s="81"/>
    </row>
    <row r="42" spans="1:15">
      <c r="A42" s="12">
        <v>34</v>
      </c>
      <c r="B42" s="20"/>
      <c r="C42" s="69"/>
      <c r="D42" s="20"/>
      <c r="E42" s="66"/>
      <c r="F42" s="66"/>
      <c r="G42" s="67"/>
      <c r="H42" s="73"/>
      <c r="I42" s="69"/>
      <c r="J42" s="20"/>
      <c r="K42" s="20"/>
      <c r="L42" s="20"/>
      <c r="O42" s="81"/>
    </row>
  </sheetData>
  <sortState ref="B9:I42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16 C21 C23 C30:C31 C38 C33 C40" xr:uid="{CB708F20-5EA1-4926-AB43-77A869B4636D}">
      <formula1>Courses</formula1>
    </dataValidation>
  </dataValidation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B78374D6-F1BF-41E3-9591-B6078BBDC93D}">
          <x14:formula1>
            <xm:f>#REF!</xm:f>
          </x14:formula1>
          <xm:sqref>N13:N15 C41:C42 C39 C32 C34:C37 C24:C29 C22 C17:C20 C9:C15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39951-5DD0-42D2-B3DB-9B1F24F5F448}">
  <sheetPr codeName="Sheet22"/>
  <dimension ref="A1:S32"/>
  <sheetViews>
    <sheetView topLeftCell="A13" zoomScale="98" zoomScaleNormal="45" workbookViewId="0">
      <selection activeCell="K30" sqref="K30"/>
    </sheetView>
  </sheetViews>
  <sheetFormatPr defaultRowHeight="14.25"/>
  <cols>
    <col min="1" max="1" width="4.125" customWidth="1"/>
    <col min="2" max="2" width="23.375" customWidth="1"/>
    <col min="3" max="3" width="13.375" customWidth="1"/>
    <col min="4" max="4" width="7.375" customWidth="1"/>
    <col min="5" max="5" width="6.375" customWidth="1"/>
    <col min="6" max="6" width="15.5" customWidth="1"/>
    <col min="7" max="7" width="10.875" customWidth="1"/>
    <col min="8" max="8" width="11.25" customWidth="1"/>
    <col min="9" max="9" width="7.25" customWidth="1"/>
  </cols>
  <sheetData>
    <row r="1" spans="1:19" ht="22.5">
      <c r="A1" s="115">
        <v>46003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9">
      <c r="A2" s="116"/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9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9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9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9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9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9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/>
      <c r="L8" s="36"/>
    </row>
    <row r="9" spans="1:19">
      <c r="A9" s="12">
        <v>1</v>
      </c>
      <c r="B9" s="20"/>
      <c r="C9" s="20"/>
      <c r="D9" s="69"/>
      <c r="E9" s="17">
        <v>1</v>
      </c>
      <c r="F9" s="17" t="s">
        <v>92</v>
      </c>
      <c r="G9" s="37">
        <v>45995</v>
      </c>
      <c r="H9" s="37">
        <v>46003</v>
      </c>
      <c r="I9" s="19"/>
      <c r="J9" s="71"/>
      <c r="K9" s="72"/>
      <c r="L9" s="20"/>
      <c r="O9" s="81"/>
      <c r="P9" s="81"/>
      <c r="Q9" s="81"/>
      <c r="R9" s="81"/>
      <c r="S9" s="81"/>
    </row>
    <row r="10" spans="1:19">
      <c r="A10" s="12">
        <v>2</v>
      </c>
      <c r="B10" s="20"/>
      <c r="C10" s="20"/>
      <c r="D10" s="20"/>
      <c r="E10" s="17">
        <v>1</v>
      </c>
      <c r="F10" s="17" t="s">
        <v>75</v>
      </c>
      <c r="G10" s="73">
        <v>45996</v>
      </c>
      <c r="H10" s="73">
        <v>46003</v>
      </c>
      <c r="I10" s="68"/>
      <c r="J10" s="22"/>
      <c r="K10" s="23"/>
      <c r="L10" s="23"/>
      <c r="O10" s="81"/>
      <c r="P10" s="81"/>
      <c r="Q10" s="81"/>
      <c r="R10" s="81"/>
      <c r="S10" s="81"/>
    </row>
    <row r="11" spans="1:19">
      <c r="A11" s="12">
        <v>3</v>
      </c>
      <c r="B11" s="20"/>
      <c r="C11" s="20"/>
      <c r="D11" s="74"/>
      <c r="E11" s="17" t="s">
        <v>98</v>
      </c>
      <c r="F11" s="66" t="s">
        <v>167</v>
      </c>
      <c r="G11" s="73" t="s">
        <v>168</v>
      </c>
      <c r="H11" s="73">
        <v>46003</v>
      </c>
      <c r="I11" s="68"/>
      <c r="J11" s="69"/>
      <c r="K11" s="72"/>
      <c r="L11" s="72"/>
      <c r="O11" s="81"/>
      <c r="P11" s="81"/>
      <c r="Q11" s="81"/>
      <c r="R11" s="81"/>
      <c r="S11" s="81"/>
    </row>
    <row r="12" spans="1:19">
      <c r="A12" s="12">
        <v>4</v>
      </c>
      <c r="B12" s="69"/>
      <c r="C12" s="69"/>
      <c r="D12" s="69"/>
      <c r="E12" s="17">
        <v>1</v>
      </c>
      <c r="F12" s="17" t="s">
        <v>75</v>
      </c>
      <c r="G12" s="73">
        <v>45996</v>
      </c>
      <c r="H12" s="73">
        <v>46003</v>
      </c>
      <c r="I12" s="68"/>
      <c r="J12" s="71"/>
      <c r="K12" s="69"/>
      <c r="L12" s="20"/>
      <c r="O12" s="81"/>
      <c r="P12" s="81"/>
      <c r="Q12" s="81"/>
      <c r="R12" s="81"/>
      <c r="S12" s="81"/>
    </row>
    <row r="13" spans="1:19">
      <c r="A13" s="12">
        <v>5</v>
      </c>
      <c r="B13" s="62"/>
      <c r="C13" s="70"/>
      <c r="D13" s="66"/>
      <c r="E13" s="66" t="s">
        <v>164</v>
      </c>
      <c r="F13" s="66" t="s">
        <v>73</v>
      </c>
      <c r="G13" s="73">
        <v>46000</v>
      </c>
      <c r="H13" s="73">
        <v>46003</v>
      </c>
      <c r="I13" s="68"/>
      <c r="J13" s="69"/>
      <c r="K13" s="69"/>
      <c r="L13" s="69"/>
      <c r="O13" s="81"/>
      <c r="P13" s="81"/>
      <c r="Q13" s="81"/>
      <c r="R13" s="81"/>
      <c r="S13" s="81"/>
    </row>
    <row r="14" spans="1:19">
      <c r="A14" s="12">
        <v>6</v>
      </c>
      <c r="B14" s="69"/>
      <c r="C14" s="20"/>
      <c r="D14" s="69"/>
      <c r="E14" s="66">
        <v>1</v>
      </c>
      <c r="F14" s="66" t="s">
        <v>75</v>
      </c>
      <c r="G14" s="73">
        <v>45996</v>
      </c>
      <c r="H14" s="73">
        <v>46003</v>
      </c>
      <c r="I14" s="68"/>
      <c r="J14" s="71"/>
      <c r="K14" s="69"/>
      <c r="L14" s="69"/>
      <c r="O14" s="81"/>
    </row>
    <row r="15" spans="1:19">
      <c r="A15" s="12">
        <v>7</v>
      </c>
      <c r="B15" s="62"/>
      <c r="C15" s="20"/>
      <c r="D15" s="66"/>
      <c r="E15" s="66">
        <v>1</v>
      </c>
      <c r="F15" s="66" t="s">
        <v>75</v>
      </c>
      <c r="G15" s="73">
        <v>45996</v>
      </c>
      <c r="H15" s="73">
        <v>46003</v>
      </c>
      <c r="I15" s="68"/>
      <c r="J15" s="69"/>
      <c r="K15" s="72"/>
      <c r="L15" s="72"/>
      <c r="O15" s="81"/>
    </row>
    <row r="16" spans="1:19">
      <c r="A16" s="12">
        <v>8</v>
      </c>
      <c r="B16" s="20"/>
      <c r="C16" s="20"/>
      <c r="D16" s="20"/>
      <c r="E16" s="66">
        <v>1</v>
      </c>
      <c r="F16" s="66" t="s">
        <v>75</v>
      </c>
      <c r="G16" s="73">
        <v>45996</v>
      </c>
      <c r="H16" s="73">
        <v>46003</v>
      </c>
      <c r="I16" s="68"/>
      <c r="J16" s="69"/>
      <c r="K16" s="69"/>
      <c r="L16" s="72"/>
      <c r="O16" s="81"/>
    </row>
    <row r="17" spans="1:15">
      <c r="A17" s="12">
        <v>9</v>
      </c>
      <c r="B17" s="20"/>
      <c r="C17" s="20"/>
      <c r="D17" s="20"/>
      <c r="E17" s="66" t="s">
        <v>178</v>
      </c>
      <c r="F17" s="66" t="s">
        <v>179</v>
      </c>
      <c r="G17" s="73">
        <v>42348</v>
      </c>
      <c r="H17" s="73">
        <v>46003</v>
      </c>
      <c r="I17" s="68"/>
      <c r="J17" s="71"/>
      <c r="K17" s="69"/>
      <c r="L17" s="69"/>
      <c r="O17" s="81"/>
    </row>
    <row r="18" spans="1:15">
      <c r="A18" s="12">
        <v>10</v>
      </c>
      <c r="B18" s="20"/>
      <c r="C18" s="69"/>
      <c r="D18" s="74"/>
      <c r="E18" s="66">
        <v>1</v>
      </c>
      <c r="F18" s="66" t="s">
        <v>71</v>
      </c>
      <c r="G18" s="73">
        <v>42348</v>
      </c>
      <c r="H18" s="73">
        <v>46003</v>
      </c>
      <c r="I18" s="68"/>
      <c r="J18" s="71"/>
      <c r="K18" s="72"/>
      <c r="L18" s="72"/>
      <c r="O18" s="81"/>
    </row>
    <row r="19" spans="1:15">
      <c r="A19" s="12">
        <v>11</v>
      </c>
      <c r="B19" s="20"/>
      <c r="C19" s="69"/>
      <c r="D19" s="74"/>
      <c r="E19" s="66">
        <v>1</v>
      </c>
      <c r="F19" s="66" t="s">
        <v>177</v>
      </c>
      <c r="G19" s="73">
        <v>42348</v>
      </c>
      <c r="H19" s="73">
        <v>46003</v>
      </c>
      <c r="I19" s="68"/>
      <c r="J19" s="71"/>
      <c r="K19" s="72"/>
      <c r="L19" s="72"/>
      <c r="O19" s="81"/>
    </row>
    <row r="20" spans="1:15">
      <c r="A20" s="12">
        <v>12</v>
      </c>
      <c r="B20" s="69"/>
      <c r="C20" s="20"/>
      <c r="D20" s="69"/>
      <c r="E20" s="66" t="s">
        <v>172</v>
      </c>
      <c r="F20" s="66" t="s">
        <v>92</v>
      </c>
      <c r="G20" s="73">
        <v>42348</v>
      </c>
      <c r="H20" s="73">
        <v>46003</v>
      </c>
      <c r="I20" s="68"/>
      <c r="J20" s="71"/>
      <c r="K20" s="72"/>
      <c r="L20" s="72"/>
      <c r="O20" s="81"/>
    </row>
    <row r="21" spans="1:15">
      <c r="A21" s="12">
        <v>13</v>
      </c>
      <c r="B21" s="20"/>
      <c r="C21" s="20"/>
      <c r="D21" s="69"/>
      <c r="E21" s="66">
        <v>1</v>
      </c>
      <c r="F21" s="66" t="s">
        <v>75</v>
      </c>
      <c r="G21" s="73">
        <v>45996</v>
      </c>
      <c r="H21" s="73">
        <v>46003</v>
      </c>
      <c r="I21" s="68"/>
      <c r="J21" s="71"/>
      <c r="K21" s="72"/>
      <c r="L21" s="69"/>
      <c r="O21" s="81"/>
    </row>
    <row r="22" spans="1:15">
      <c r="A22" s="12">
        <v>14</v>
      </c>
      <c r="B22" s="20"/>
      <c r="C22" s="20"/>
      <c r="D22" s="69"/>
      <c r="E22" s="66">
        <v>1</v>
      </c>
      <c r="F22" s="66" t="s">
        <v>75</v>
      </c>
      <c r="G22" s="73">
        <v>45996</v>
      </c>
      <c r="H22" s="73">
        <v>46003</v>
      </c>
      <c r="I22" s="68"/>
      <c r="J22" s="71"/>
      <c r="K22" s="72"/>
      <c r="L22" s="72"/>
      <c r="O22" s="81"/>
    </row>
    <row r="23" spans="1:15">
      <c r="A23" s="12">
        <v>15</v>
      </c>
      <c r="B23" s="69"/>
      <c r="C23" s="69"/>
      <c r="D23" s="69"/>
      <c r="E23" s="66">
        <v>1</v>
      </c>
      <c r="F23" s="66" t="s">
        <v>75</v>
      </c>
      <c r="G23" s="73">
        <v>45996</v>
      </c>
      <c r="H23" s="73">
        <v>46003</v>
      </c>
      <c r="I23" s="68"/>
      <c r="J23" s="20"/>
      <c r="K23" s="72"/>
      <c r="L23" s="72"/>
      <c r="O23" s="81"/>
    </row>
    <row r="24" spans="1:15">
      <c r="A24" s="12">
        <v>16</v>
      </c>
      <c r="B24" s="20"/>
      <c r="C24" s="20"/>
      <c r="D24" s="74"/>
      <c r="E24" s="66">
        <v>3</v>
      </c>
      <c r="F24" s="66" t="s">
        <v>73</v>
      </c>
      <c r="G24" s="73">
        <v>42348</v>
      </c>
      <c r="H24" s="73">
        <v>46003</v>
      </c>
      <c r="I24" s="68"/>
      <c r="J24" s="22"/>
      <c r="K24" s="23"/>
      <c r="L24" s="23"/>
      <c r="O24" s="81"/>
    </row>
    <row r="25" spans="1:15">
      <c r="A25" s="12">
        <v>17</v>
      </c>
      <c r="B25" s="20"/>
      <c r="C25" s="20"/>
      <c r="D25" s="74"/>
      <c r="E25" s="66">
        <v>1</v>
      </c>
      <c r="F25" s="66" t="s">
        <v>71</v>
      </c>
      <c r="G25" s="37">
        <v>42348</v>
      </c>
      <c r="H25" s="73">
        <v>46003</v>
      </c>
      <c r="I25" s="68"/>
      <c r="J25" s="20"/>
      <c r="K25" s="69"/>
      <c r="L25" s="69"/>
      <c r="O25" s="81"/>
    </row>
    <row r="26" spans="1:15">
      <c r="A26" s="12">
        <v>18</v>
      </c>
      <c r="B26" s="20"/>
      <c r="C26" s="20"/>
      <c r="D26" s="69"/>
      <c r="E26" s="66">
        <v>1</v>
      </c>
      <c r="F26" s="66" t="s">
        <v>76</v>
      </c>
      <c r="G26" s="73">
        <v>45995</v>
      </c>
      <c r="H26" s="73">
        <v>46003</v>
      </c>
      <c r="I26" s="68"/>
      <c r="J26" s="22"/>
      <c r="K26" s="69"/>
      <c r="L26" s="69"/>
      <c r="O26" s="81"/>
    </row>
    <row r="27" spans="1:15">
      <c r="A27" s="12">
        <v>19</v>
      </c>
      <c r="B27" s="69"/>
      <c r="C27" s="69"/>
      <c r="D27" s="69"/>
      <c r="E27" s="66">
        <v>2</v>
      </c>
      <c r="F27" s="66" t="s">
        <v>160</v>
      </c>
      <c r="G27" s="73">
        <v>45996</v>
      </c>
      <c r="H27" s="73">
        <v>46003</v>
      </c>
      <c r="I27" s="68"/>
      <c r="J27" s="20"/>
      <c r="K27" s="72"/>
      <c r="L27" s="20"/>
      <c r="O27" s="81"/>
    </row>
    <row r="28" spans="1:15">
      <c r="A28" s="12">
        <v>20</v>
      </c>
      <c r="B28" s="20"/>
      <c r="C28" s="20"/>
      <c r="D28" s="20"/>
      <c r="E28" s="66">
        <v>1</v>
      </c>
      <c r="F28" s="66" t="s">
        <v>75</v>
      </c>
      <c r="G28" s="73">
        <v>45996</v>
      </c>
      <c r="H28" s="73">
        <v>46003</v>
      </c>
      <c r="I28" s="68"/>
      <c r="J28" s="69"/>
      <c r="K28" s="69"/>
      <c r="L28" s="23"/>
      <c r="O28" s="81"/>
    </row>
    <row r="29" spans="1:15">
      <c r="A29" s="12">
        <v>21</v>
      </c>
      <c r="B29" s="20"/>
      <c r="C29" s="20"/>
      <c r="D29" s="69"/>
      <c r="E29" s="66">
        <v>1</v>
      </c>
      <c r="F29" s="66" t="s">
        <v>75</v>
      </c>
      <c r="G29" s="73">
        <v>45996</v>
      </c>
      <c r="H29" s="73">
        <v>46003</v>
      </c>
      <c r="I29" s="68"/>
      <c r="J29" s="69"/>
      <c r="K29" s="69"/>
      <c r="L29" s="23"/>
      <c r="O29" s="81"/>
    </row>
    <row r="30" spans="1:15">
      <c r="A30" s="12">
        <v>22</v>
      </c>
      <c r="B30" s="20"/>
      <c r="C30" s="20"/>
      <c r="D30" s="74"/>
      <c r="E30" s="66">
        <v>1</v>
      </c>
      <c r="F30" s="66" t="s">
        <v>154</v>
      </c>
      <c r="G30" s="73">
        <v>45995</v>
      </c>
      <c r="H30" s="73">
        <v>46003</v>
      </c>
      <c r="I30" s="68"/>
      <c r="J30" s="69"/>
      <c r="K30" s="20"/>
      <c r="L30" s="20"/>
      <c r="O30" s="81"/>
    </row>
    <row r="31" spans="1:15">
      <c r="A31" s="12">
        <v>23</v>
      </c>
      <c r="B31" s="20"/>
      <c r="C31" s="20"/>
      <c r="D31" s="20"/>
      <c r="E31" s="66"/>
      <c r="F31" s="66"/>
      <c r="G31" s="73"/>
      <c r="H31" s="73"/>
      <c r="I31" s="68"/>
      <c r="J31" s="20"/>
      <c r="K31" s="112"/>
      <c r="L31" s="23"/>
      <c r="O31" s="81"/>
    </row>
    <row r="32" spans="1:15">
      <c r="A32" s="12">
        <v>24</v>
      </c>
      <c r="B32" s="20"/>
      <c r="C32" s="20"/>
      <c r="D32" s="20"/>
      <c r="E32" s="66"/>
      <c r="F32" s="66"/>
      <c r="G32" s="37"/>
      <c r="H32" s="73"/>
      <c r="I32" s="68"/>
      <c r="J32" s="22"/>
      <c r="K32" s="20"/>
      <c r="L32" s="20"/>
      <c r="O32" s="81"/>
    </row>
  </sheetData>
  <sortState ref="B9:L32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Please Check Entry" error="It is recommended to pick a course from the list." xr:uid="{1B491EE0-7F72-48A9-93FF-4774637343EC}">
          <x14:formula1>
            <xm:f>#REF!</xm:f>
          </x14:formula1>
          <xm:sqref>C15 C18:C19</xm:sqref>
        </x14:dataValidation>
        <x14:dataValidation type="list" errorStyle="information" allowBlank="1" showInputMessage="1" showErrorMessage="1" errorTitle="Please Check Entry" error="It is recommended to pick a course from the list." xr:uid="{73661A90-9A35-460C-BB1A-6450427AC230}">
          <x14:formula1>
            <xm:f>#REF!</xm:f>
          </x14:formula1>
          <xm:sqref>C9:C14 C20:C32 C16:C17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9E032-BBDE-4DD5-890A-C65C86839925}">
  <sheetPr codeName="Sheet23">
    <tabColor rgb="FFFF0000"/>
  </sheetPr>
  <dimension ref="A1:L258"/>
  <sheetViews>
    <sheetView zoomScale="98" zoomScaleNormal="45" workbookViewId="0">
      <selection activeCell="J242" sqref="J242"/>
    </sheetView>
  </sheetViews>
  <sheetFormatPr defaultRowHeight="14.25"/>
  <cols>
    <col min="1" max="1" width="4.125" customWidth="1"/>
    <col min="2" max="2" width="23.375" customWidth="1"/>
    <col min="3" max="3" width="13.375" customWidth="1"/>
    <col min="4" max="4" width="7.375" customWidth="1"/>
    <col min="5" max="5" width="6.375" customWidth="1"/>
    <col min="6" max="6" width="15.5" customWidth="1"/>
    <col min="7" max="7" width="10.875" customWidth="1"/>
    <col min="8" max="8" width="11.25" customWidth="1"/>
    <col min="9" max="9" width="7.25" customWidth="1"/>
  </cols>
  <sheetData>
    <row r="1" spans="1:12" ht="22.5">
      <c r="A1" s="115">
        <v>46004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/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105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2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0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12"/>
      <c r="C20" s="20"/>
      <c r="D20" s="17"/>
      <c r="E20" s="16"/>
      <c r="F20" s="17"/>
      <c r="G20" s="18"/>
      <c r="H20" s="18"/>
      <c r="I20" s="20"/>
      <c r="J20" s="20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0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2"/>
      <c r="K22" s="20"/>
      <c r="L22" s="20"/>
    </row>
    <row r="23" spans="1:12">
      <c r="A23" s="12">
        <v>15</v>
      </c>
      <c r="B23" s="12"/>
      <c r="C23" s="21"/>
      <c r="D23" s="17"/>
      <c r="E23" s="16"/>
      <c r="F23" s="17"/>
      <c r="G23" s="18"/>
      <c r="H23" s="18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0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2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0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2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2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2B9B0F11-6D55-4C93-91BE-968BD53B3FB7}">
          <x14:formula1>
            <xm:f>#REF!</xm:f>
          </x14:formula1>
          <xm:sqref>C9:C100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L259"/>
  <sheetViews>
    <sheetView zoomScale="98" zoomScaleNormal="45" workbookViewId="0">
      <selection activeCell="J242" sqref="J242"/>
    </sheetView>
  </sheetViews>
  <sheetFormatPr defaultRowHeight="14.25"/>
  <cols>
    <col min="1" max="1" width="4.125" customWidth="1"/>
    <col min="2" max="2" width="23.125" customWidth="1"/>
    <col min="3" max="3" width="8.625" customWidth="1"/>
    <col min="4" max="4" width="6.75" customWidth="1"/>
    <col min="5" max="5" width="7.125" customWidth="1"/>
    <col min="6" max="6" width="14.625" customWidth="1"/>
    <col min="7" max="7" width="11.375" customWidth="1"/>
    <col min="8" max="8" width="10.875" customWidth="1"/>
    <col min="9" max="9" width="9.625" customWidth="1"/>
  </cols>
  <sheetData>
    <row r="1" spans="1:12" ht="22.5">
      <c r="A1" s="115">
        <v>46005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12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2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0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2"/>
      <c r="K11" s="23"/>
      <c r="L11" s="23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0"/>
      <c r="L13" s="20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0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3"/>
      <c r="L15" s="23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0"/>
      <c r="K16" s="20"/>
      <c r="L16" s="20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9</v>
      </c>
      <c r="B18" s="20"/>
      <c r="C18" s="20"/>
      <c r="D18" s="20"/>
      <c r="E18" s="17"/>
      <c r="F18" s="17"/>
      <c r="G18" s="37"/>
      <c r="H18" s="37"/>
      <c r="I18" s="19"/>
      <c r="J18" s="22"/>
      <c r="K18" s="23"/>
      <c r="L18" s="23"/>
    </row>
    <row r="19" spans="1:12">
      <c r="A19" s="12">
        <v>10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11</v>
      </c>
      <c r="B20" s="20"/>
      <c r="C20" s="20"/>
      <c r="D20" s="20"/>
      <c r="E20" s="17"/>
      <c r="F20" s="17"/>
      <c r="G20" s="37"/>
      <c r="H20" s="37"/>
      <c r="I20" s="19"/>
      <c r="J20" s="22"/>
      <c r="K20" s="20"/>
      <c r="L20" s="20"/>
    </row>
    <row r="21" spans="1:12">
      <c r="A21" s="12">
        <v>12</v>
      </c>
      <c r="B21" s="20"/>
      <c r="C21" s="20"/>
      <c r="D21" s="20"/>
      <c r="E21" s="17"/>
      <c r="F21" s="17"/>
      <c r="G21" s="37"/>
      <c r="H21" s="37"/>
      <c r="I21" s="19"/>
      <c r="J21" s="20"/>
      <c r="K21" s="23"/>
      <c r="L21" s="23"/>
    </row>
    <row r="22" spans="1:12">
      <c r="A22" s="12">
        <v>13</v>
      </c>
      <c r="B22" s="20"/>
      <c r="C22" s="20"/>
      <c r="D22" s="20"/>
      <c r="E22" s="17"/>
      <c r="F22" s="17"/>
      <c r="G22" s="37"/>
      <c r="H22" s="37"/>
      <c r="I22" s="19"/>
      <c r="J22" s="20"/>
      <c r="K22" s="23"/>
      <c r="L22" s="23"/>
    </row>
    <row r="23" spans="1:12">
      <c r="A23" s="12">
        <v>14</v>
      </c>
      <c r="B23" s="20"/>
      <c r="C23" s="20"/>
      <c r="D23" s="20"/>
      <c r="E23" s="17"/>
      <c r="F23" s="17"/>
      <c r="G23" s="37"/>
      <c r="H23" s="37"/>
      <c r="I23" s="19"/>
      <c r="J23" s="22"/>
      <c r="K23" s="20"/>
      <c r="L23" s="20"/>
    </row>
    <row r="24" spans="1:12">
      <c r="A24" s="12">
        <v>15</v>
      </c>
      <c r="B24" s="20"/>
      <c r="C24" s="20"/>
      <c r="D24" s="20"/>
      <c r="E24" s="17"/>
      <c r="F24" s="17"/>
      <c r="G24" s="37"/>
      <c r="H24" s="37"/>
      <c r="I24" s="19"/>
      <c r="J24" s="20"/>
      <c r="K24" s="20"/>
      <c r="L24" s="20"/>
    </row>
    <row r="25" spans="1:12">
      <c r="A25" s="12">
        <v>16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17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18</v>
      </c>
      <c r="B27" s="20"/>
      <c r="C27" s="20"/>
      <c r="D27" s="20"/>
      <c r="E27" s="17"/>
      <c r="F27" s="17"/>
      <c r="G27" s="37"/>
      <c r="H27" s="37"/>
      <c r="I27" s="19"/>
      <c r="J27" s="22"/>
      <c r="K27" s="23"/>
      <c r="L27" s="23"/>
    </row>
    <row r="28" spans="1:12">
      <c r="A28" s="12">
        <v>19</v>
      </c>
      <c r="B28" s="20"/>
      <c r="C28" s="20"/>
      <c r="D28" s="20"/>
      <c r="E28" s="17"/>
      <c r="F28" s="17"/>
      <c r="G28" s="37"/>
      <c r="H28" s="37"/>
      <c r="I28" s="20"/>
      <c r="J28" s="20"/>
      <c r="K28" s="20"/>
      <c r="L28" s="20"/>
    </row>
    <row r="29" spans="1:12">
      <c r="A29" s="12">
        <v>20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21</v>
      </c>
      <c r="B30" s="20"/>
      <c r="C30" s="20"/>
      <c r="D30" s="20"/>
      <c r="E30" s="17"/>
      <c r="F30" s="17"/>
      <c r="G30" s="37"/>
      <c r="H30" s="37"/>
      <c r="I30" s="20"/>
      <c r="J30" s="22"/>
      <c r="K30" s="23"/>
      <c r="L30" s="23"/>
    </row>
    <row r="31" spans="1:12">
      <c r="A31" s="12">
        <v>22</v>
      </c>
      <c r="B31" s="20"/>
      <c r="C31" s="20"/>
      <c r="D31" s="20"/>
      <c r="E31" s="17"/>
      <c r="F31" s="17"/>
      <c r="G31" s="37"/>
      <c r="H31" s="37"/>
      <c r="I31" s="19"/>
      <c r="J31" s="20"/>
      <c r="K31" s="20"/>
      <c r="L31" s="20"/>
    </row>
    <row r="32" spans="1:12">
      <c r="A32" s="12">
        <v>23</v>
      </c>
      <c r="B32" s="12"/>
      <c r="C32" s="21"/>
      <c r="D32" s="17"/>
      <c r="E32" s="16"/>
      <c r="F32" s="17"/>
      <c r="G32" s="18"/>
      <c r="H32" s="18"/>
      <c r="I32" s="20"/>
      <c r="J32" s="22"/>
      <c r="K32" s="23"/>
      <c r="L32" s="23"/>
    </row>
    <row r="33" spans="1:12">
      <c r="A33" s="12">
        <v>24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25</v>
      </c>
      <c r="B34" s="12"/>
      <c r="C34" s="21"/>
      <c r="D34" s="17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26</v>
      </c>
      <c r="B35" s="12"/>
      <c r="C35" s="14"/>
      <c r="D35" s="15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27</v>
      </c>
      <c r="B36" s="12"/>
      <c r="C36" s="14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28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29</v>
      </c>
      <c r="B38" s="12"/>
      <c r="C38" s="21"/>
      <c r="D38" s="17"/>
      <c r="E38" s="16"/>
      <c r="F38" s="17"/>
      <c r="G38" s="18"/>
      <c r="H38" s="18"/>
      <c r="I38" s="20"/>
      <c r="J38" s="20"/>
      <c r="K38" s="20"/>
      <c r="L38" s="20"/>
    </row>
    <row r="39" spans="1:12">
      <c r="A39" s="12">
        <v>30</v>
      </c>
      <c r="B39" s="12"/>
      <c r="C39" s="21"/>
      <c r="D39" s="17"/>
      <c r="E39" s="21"/>
      <c r="F39" s="16"/>
      <c r="G39" s="18"/>
      <c r="H39" s="18"/>
      <c r="I39" s="20"/>
      <c r="J39" s="20"/>
      <c r="K39" s="20"/>
      <c r="L39" s="20"/>
    </row>
    <row r="40" spans="1:12">
      <c r="A40" s="12">
        <v>31</v>
      </c>
      <c r="B40" s="12"/>
      <c r="C40" s="21"/>
      <c r="D40" s="17"/>
      <c r="E40" s="16"/>
      <c r="F40" s="17"/>
      <c r="G40" s="18"/>
      <c r="H40" s="18"/>
      <c r="I40" s="20"/>
      <c r="J40" s="20"/>
      <c r="K40" s="20"/>
      <c r="L40" s="20"/>
    </row>
    <row r="41" spans="1:12">
      <c r="A41" s="12">
        <v>32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33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34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35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36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37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38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39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40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41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42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43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44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45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46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47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48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49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50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51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52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53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54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55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56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57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58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59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60</v>
      </c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</row>
    <row r="70" spans="1:12">
      <c r="A70" s="12">
        <v>61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62</v>
      </c>
      <c r="B71" s="12"/>
      <c r="C71" s="21"/>
      <c r="D71" s="17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63</v>
      </c>
      <c r="B72" s="13"/>
      <c r="C72" s="14"/>
      <c r="D72" s="15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64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65</v>
      </c>
      <c r="B74" s="12"/>
      <c r="C74" s="21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66</v>
      </c>
      <c r="B75" s="12"/>
      <c r="C75" s="14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67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68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69</v>
      </c>
      <c r="B78" s="12"/>
      <c r="C78" s="21"/>
      <c r="D78" s="17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70</v>
      </c>
      <c r="B79" s="12"/>
      <c r="C79" s="14"/>
      <c r="D79" s="15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71</v>
      </c>
      <c r="B80" s="12"/>
      <c r="C80" s="14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72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73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74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75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76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66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78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79</v>
      </c>
      <c r="B88" s="12"/>
      <c r="C88" s="21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80</v>
      </c>
      <c r="B89" s="12"/>
      <c r="C89" s="14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81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82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83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84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85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86</v>
      </c>
      <c r="B95" s="12"/>
      <c r="C95" s="21"/>
      <c r="D95" s="17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87</v>
      </c>
      <c r="B96" s="13"/>
      <c r="C96" s="14"/>
      <c r="D96" s="15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88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89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90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91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92</v>
      </c>
      <c r="B101" s="12"/>
      <c r="C101" s="21"/>
      <c r="D101" s="17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93</v>
      </c>
      <c r="B102" s="12"/>
      <c r="C102" s="14"/>
      <c r="D102" s="15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94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95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96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97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98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99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100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101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102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103</v>
      </c>
      <c r="B113" s="12"/>
      <c r="C113" s="21"/>
      <c r="D113" s="17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104</v>
      </c>
      <c r="B114" s="13"/>
      <c r="C114" s="14"/>
      <c r="D114" s="15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105</v>
      </c>
      <c r="B115" s="12"/>
      <c r="C115" s="21"/>
      <c r="D115" s="17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106</v>
      </c>
      <c r="B116" s="13"/>
      <c r="C116" s="14"/>
      <c r="D116" s="15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107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108</v>
      </c>
      <c r="B118" s="12"/>
      <c r="C118" s="21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119</v>
      </c>
      <c r="B119" s="12"/>
      <c r="C119" s="14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110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1" spans="1:12">
      <c r="A121" s="12">
        <v>111</v>
      </c>
      <c r="B121" s="12"/>
      <c r="C121" s="21"/>
      <c r="D121" s="17"/>
      <c r="E121" s="16"/>
      <c r="F121" s="17"/>
      <c r="G121" s="18"/>
      <c r="H121" s="18"/>
      <c r="I121" s="20"/>
      <c r="J121" s="20"/>
      <c r="K121" s="20"/>
      <c r="L121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4" spans="2:7">
      <c r="B244" s="20" t="s">
        <v>41</v>
      </c>
      <c r="C244" s="27">
        <f>(C235)- SUM(C236:C243)</f>
        <v>0</v>
      </c>
      <c r="D244" s="20"/>
      <c r="E244" s="20"/>
      <c r="F244" s="20"/>
      <c r="G244" s="20"/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 t="e" cm="1">
        <f t="array" aca="1" ref="B248" ca="1">_xludf.FILTER($B$9:$B$101, ISNUMBER(MATCH($C$9:$C$101, {"BSCE","BSCHEM","BSFT","BS-Arch","SHS-STEM"}, 0)), "")</f>
        <v>#NAME?</v>
      </c>
      <c r="C248" s="20" t="e" cm="1">
        <f t="array" aca="1" ref="C248" ca="1">_xludf.FILTER($B$9:$B$101, ISNUMBER(MATCH($C$9:$C$101,
{"BSTCM","BSCS","BSDS","BSEMT","BSEMT-MR","BSET-ES","BSET-TN","BSESM-EMCM","BSESM-PSPE","BSMET","BTOM","BSECT","BSETM","BS-ArchMT","BSIT (Industral Tech)","BSEST","BSES-EMT","BSES-NRM","BS-ArchM","COT","BEED","DT-SPED"}, 0)), "")</f>
        <v>#NAME?</v>
      </c>
      <c r="D248" s="20" t="e" cm="1">
        <f t="array" aca="1" ref="D248" ca="1">_xludf.FILTER($B$9:$B$101, ISNUMBER(MATCH($C$9:$C$101, {"BS-Arch","BSCPE","BSEE","BSECE","BSGE","BSME"}, 0)), "")</f>
        <v>#NAME?</v>
      </c>
      <c r="E248" s="20" t="e" cm="1">
        <f t="array" aca="1" ref="E248" ca="1">_xludf.FILTER($B$9:$B$101, (ISNUMBER(SEARCH("BSIT", $C$9:$C$101)) + ISNUMBER(SEARCH("BTVTED", $C$9:$C$101)) + ISNUMBER(SEARCH("BSED", $C$9:$C$101)) + ISNUMBER(SEARCH("BTLED", $C$9:$C$101))) &gt; 0, "")</f>
        <v>#NAME?</v>
      </c>
      <c r="F248" s="20" t="e" cm="1">
        <f t="array" aca="1" ref="F248" ca="1">_xludf.FILTER($B$9:$B$101, ISNUMBER(MATCH($C$9:$C$101,
{"MEP-ECE","MS-AMS","PHD EGY-ENG","PHD-EMP","PHD-EPA","PHD-MSME","PHD MSAMS","PHD-SCIEDD","BTE","MEP-CE","MPSI","MS-EPA","MS-EST","MAT-SPED","MTTE","MITO","MIT","MS-TCM","MEP-ME","MEP-EE","MS-EE","PSM","MS-ES","MA-TESL","MS-SCIED","MST-PS","MS-ME","MST-MATH"}, 0)), "")</f>
        <v>#NAME?</v>
      </c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  <row r="259" spans="2:6">
      <c r="B259" s="20"/>
      <c r="C259" s="20"/>
      <c r="D259" s="20"/>
      <c r="E259" s="20"/>
      <c r="F259" s="20"/>
    </row>
  </sheetData>
  <sortState ref="B9:J39">
    <sortCondition ref="B9"/>
  </sortState>
  <mergeCells count="5">
    <mergeCell ref="A1:L1"/>
    <mergeCell ref="A2:L2"/>
    <mergeCell ref="F3:H3"/>
    <mergeCell ref="K3:L7"/>
    <mergeCell ref="C5:E5"/>
  </mergeCells>
  <phoneticPr fontId="9" type="noConversion"/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2000000}">
          <x14:formula1>
            <xm:f>#REF!</xm:f>
          </x14:formula1>
          <xm:sqref>C101</xm:sqref>
        </x14:dataValidation>
        <x14:dataValidation type="list" errorStyle="information" allowBlank="1" showInputMessage="1" showErrorMessage="1" errorTitle="Please Check Entry" error="It is recommended to pick a course from the list." xr:uid="{4550E444-8111-45D6-AA41-803CC95DEE81}">
          <x14:formula1>
            <xm:f>#REF!</xm:f>
          </x14:formula1>
          <xm:sqref>C9:C100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L258"/>
  <sheetViews>
    <sheetView zoomScale="98" zoomScaleNormal="45" workbookViewId="0">
      <selection activeCell="C8" sqref="C8"/>
    </sheetView>
  </sheetViews>
  <sheetFormatPr defaultRowHeight="14.25"/>
  <cols>
    <col min="1" max="1" width="4.125" customWidth="1"/>
    <col min="2" max="2" width="22.5" customWidth="1"/>
    <col min="3" max="3" width="11.625" customWidth="1"/>
    <col min="4" max="4" width="11.375" customWidth="1"/>
    <col min="5" max="5" width="5.375" customWidth="1"/>
    <col min="6" max="6" width="14.875" customWidth="1"/>
    <col min="7" max="7" width="9.875" customWidth="1"/>
    <col min="8" max="8" width="11.125" customWidth="1"/>
    <col min="9" max="9" width="8.75" customWidth="1"/>
  </cols>
  <sheetData>
    <row r="1" spans="1:12" ht="22.5">
      <c r="A1" s="115" t="s">
        <v>158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9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37"/>
      <c r="H31" s="37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37"/>
      <c r="H32" s="37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37"/>
      <c r="H33" s="37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37"/>
      <c r="H34" s="37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39">
    <sortCondition ref="B9"/>
  </sortState>
  <mergeCells count="5">
    <mergeCell ref="A1:L1"/>
    <mergeCell ref="A2:L2"/>
    <mergeCell ref="F3:H3"/>
    <mergeCell ref="K3:L7"/>
    <mergeCell ref="C5:E5"/>
  </mergeCells>
  <phoneticPr fontId="9" type="noConversion"/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B7445797-1AEE-4208-A60F-74C83F38BB13}">
          <x14:formula1>
            <xm:f>#REF!</xm:f>
          </x14:formula1>
          <xm:sqref>C9:C100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L258"/>
  <sheetViews>
    <sheetView zoomScale="98" zoomScaleNormal="45" workbookViewId="0">
      <selection activeCell="I24" sqref="I23:I24"/>
    </sheetView>
  </sheetViews>
  <sheetFormatPr defaultRowHeight="14.25"/>
  <cols>
    <col min="1" max="1" width="4.125" customWidth="1"/>
    <col min="2" max="2" width="19" customWidth="1"/>
    <col min="3" max="3" width="12.625" customWidth="1"/>
    <col min="4" max="4" width="8.25" customWidth="1"/>
    <col min="5" max="5" width="9.25" customWidth="1"/>
    <col min="6" max="6" width="15.625" customWidth="1"/>
    <col min="7" max="7" width="11.75" customWidth="1"/>
    <col min="8" max="8" width="9.125" customWidth="1"/>
    <col min="9" max="9" width="7.5" customWidth="1"/>
    <col min="10" max="10" width="5.75" customWidth="1"/>
  </cols>
  <sheetData>
    <row r="1" spans="1:12" ht="22.5">
      <c r="A1" s="115">
        <v>46007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105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36" t="s">
        <v>31</v>
      </c>
      <c r="I8" s="36" t="s">
        <v>57</v>
      </c>
      <c r="J8" s="36" t="s">
        <v>31</v>
      </c>
      <c r="K8" s="38" t="s">
        <v>32</v>
      </c>
      <c r="L8" s="20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0"/>
      <c r="L10" s="20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0"/>
      <c r="L13" s="20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0"/>
      <c r="L14" s="20"/>
    </row>
    <row r="15" spans="1:12">
      <c r="A15" s="12">
        <v>7</v>
      </c>
      <c r="B15" s="20"/>
      <c r="C15" s="20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0"/>
      <c r="L16" s="20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0"/>
      <c r="L17" s="20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0"/>
      <c r="L20" s="20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0"/>
      <c r="L21" s="20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0"/>
      <c r="L24" s="20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0"/>
      <c r="L25" s="20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0"/>
      <c r="L26" s="20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0"/>
      <c r="L28" s="20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0"/>
      <c r="L29" s="20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0"/>
      <c r="L31" s="20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</row>
    <row r="65" spans="1:10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</row>
    <row r="66" spans="1:10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</row>
    <row r="67" spans="1:10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</row>
    <row r="68" spans="1:10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</row>
    <row r="69" spans="1:10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</row>
    <row r="70" spans="1:10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</row>
    <row r="71" spans="1:10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</row>
    <row r="72" spans="1:10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</row>
    <row r="73" spans="1:10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</row>
    <row r="74" spans="1:10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</row>
    <row r="75" spans="1:10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</row>
    <row r="76" spans="1:10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</row>
    <row r="77" spans="1:10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</row>
    <row r="78" spans="1:10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</row>
    <row r="79" spans="1:10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</row>
    <row r="80" spans="1:10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</row>
    <row r="81" spans="1:10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</row>
    <row r="82" spans="1:10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</row>
    <row r="83" spans="1:10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</row>
    <row r="84" spans="1:10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</row>
    <row r="85" spans="1:10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</row>
    <row r="86" spans="1:10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</row>
    <row r="87" spans="1:10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</row>
    <row r="88" spans="1:10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</row>
    <row r="89" spans="1:10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</row>
    <row r="90" spans="1:10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</row>
    <row r="91" spans="1:10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</row>
    <row r="92" spans="1:10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</row>
    <row r="93" spans="1:10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</row>
    <row r="94" spans="1:10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</row>
    <row r="95" spans="1:10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</row>
    <row r="96" spans="1:10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</row>
    <row r="97" spans="1:10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</row>
    <row r="98" spans="1:10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</row>
    <row r="99" spans="1:10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</row>
    <row r="100" spans="1:10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</row>
    <row r="101" spans="1:10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</row>
    <row r="102" spans="1:10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</row>
    <row r="103" spans="1:10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</row>
    <row r="104" spans="1:10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</row>
    <row r="105" spans="1:10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</row>
    <row r="106" spans="1:10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</row>
    <row r="107" spans="1:10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</row>
    <row r="108" spans="1:10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</row>
    <row r="109" spans="1:10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</row>
    <row r="110" spans="1:10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</row>
    <row r="111" spans="1:10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</row>
    <row r="112" spans="1:10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</row>
    <row r="113" spans="1:10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</row>
    <row r="114" spans="1:10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</row>
    <row r="115" spans="1:10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</row>
    <row r="116" spans="1:10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</row>
    <row r="117" spans="1:10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</row>
    <row r="118" spans="1:10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</row>
    <row r="119" spans="1:10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</row>
    <row r="120" spans="1:10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</row>
    <row r="124" spans="1:10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0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0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0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0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37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FBE95734-9275-455F-A68B-15173105583D}">
          <x14:formula1>
            <xm:f>#REF!</xm:f>
          </x14:formula1>
          <xm:sqref>C9:C100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2E03-89BC-44C8-AE0A-F80FA41CB111}">
  <sheetPr codeName="Sheet25"/>
  <dimension ref="A1:Q44"/>
  <sheetViews>
    <sheetView topLeftCell="A37" zoomScale="98" zoomScaleNormal="45" workbookViewId="0">
      <selection activeCell="J61" sqref="J61"/>
    </sheetView>
  </sheetViews>
  <sheetFormatPr defaultRowHeight="14.25"/>
  <cols>
    <col min="1" max="1" width="4.125" customWidth="1"/>
    <col min="2" max="2" width="24.25" customWidth="1"/>
    <col min="3" max="3" width="12.625" customWidth="1"/>
    <col min="4" max="4" width="8.25" customWidth="1"/>
    <col min="5" max="5" width="9.25" customWidth="1"/>
    <col min="6" max="6" width="15.625" customWidth="1"/>
    <col min="7" max="7" width="11.75" customWidth="1"/>
    <col min="8" max="8" width="11.625" customWidth="1"/>
    <col min="9" max="9" width="7.5" customWidth="1"/>
    <col min="10" max="10" width="5.75" customWidth="1"/>
    <col min="14" max="14" width="9" style="105"/>
  </cols>
  <sheetData>
    <row r="1" spans="1:17" ht="22.5">
      <c r="A1" s="115">
        <v>46008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7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7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20"/>
      <c r="L3" s="20"/>
    </row>
    <row r="4" spans="1:17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7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7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7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7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 t="s">
        <v>31</v>
      </c>
      <c r="K8" s="38" t="s">
        <v>32</v>
      </c>
      <c r="L8" s="20"/>
    </row>
    <row r="9" spans="1:17">
      <c r="A9" s="12">
        <v>1</v>
      </c>
      <c r="B9" s="20"/>
      <c r="C9" s="20"/>
      <c r="D9" s="74"/>
      <c r="E9" s="17">
        <v>1</v>
      </c>
      <c r="F9" s="17" t="s">
        <v>71</v>
      </c>
      <c r="G9" s="37">
        <v>45997</v>
      </c>
      <c r="H9" s="73">
        <v>46008</v>
      </c>
      <c r="I9" s="69"/>
      <c r="J9" s="20"/>
      <c r="K9" s="20"/>
      <c r="L9" s="20"/>
      <c r="N9" s="106"/>
      <c r="O9" s="81"/>
      <c r="P9" s="81"/>
      <c r="Q9" s="81"/>
    </row>
    <row r="10" spans="1:17">
      <c r="A10" s="12">
        <v>2</v>
      </c>
      <c r="B10" s="20"/>
      <c r="C10" s="20"/>
      <c r="D10" s="20"/>
      <c r="E10" s="17">
        <v>1</v>
      </c>
      <c r="F10" s="17" t="s">
        <v>157</v>
      </c>
      <c r="G10" s="73">
        <v>45996</v>
      </c>
      <c r="H10" s="73">
        <v>46008</v>
      </c>
      <c r="I10" s="68"/>
      <c r="J10" s="22"/>
      <c r="K10" s="20"/>
      <c r="L10" s="20"/>
      <c r="N10" s="106"/>
      <c r="O10" s="81"/>
      <c r="P10" s="81"/>
      <c r="Q10" s="81"/>
    </row>
    <row r="11" spans="1:17">
      <c r="A11" s="12">
        <v>3</v>
      </c>
      <c r="B11" s="69"/>
      <c r="C11" s="69"/>
      <c r="D11" s="69"/>
      <c r="E11" s="66">
        <v>1</v>
      </c>
      <c r="F11" s="66" t="s">
        <v>49</v>
      </c>
      <c r="G11" s="66"/>
      <c r="H11" s="73">
        <v>46008</v>
      </c>
      <c r="I11" s="69"/>
      <c r="J11" s="20"/>
      <c r="K11" s="20"/>
      <c r="L11" s="20"/>
      <c r="N11" s="106"/>
      <c r="O11" s="81"/>
      <c r="P11" s="81"/>
      <c r="Q11" s="81"/>
    </row>
    <row r="12" spans="1:17">
      <c r="A12" s="12">
        <v>4</v>
      </c>
      <c r="B12" s="62"/>
      <c r="C12" s="70"/>
      <c r="D12" s="74"/>
      <c r="E12" s="66">
        <v>1</v>
      </c>
      <c r="F12" s="66" t="s">
        <v>159</v>
      </c>
      <c r="G12" s="73">
        <v>45997</v>
      </c>
      <c r="H12" s="73">
        <v>46008</v>
      </c>
      <c r="I12" s="69"/>
      <c r="J12" s="20"/>
      <c r="K12" s="20"/>
      <c r="L12" s="20"/>
      <c r="N12" s="106"/>
      <c r="O12" s="81"/>
      <c r="P12" s="81"/>
      <c r="Q12" s="81"/>
    </row>
    <row r="13" spans="1:17">
      <c r="A13" s="12">
        <v>5</v>
      </c>
      <c r="B13" s="20"/>
      <c r="C13" s="69"/>
      <c r="D13" s="74"/>
      <c r="E13" s="66">
        <v>1</v>
      </c>
      <c r="F13" s="66" t="s">
        <v>71</v>
      </c>
      <c r="G13" s="73">
        <v>45997</v>
      </c>
      <c r="H13" s="73">
        <v>46008</v>
      </c>
      <c r="I13" s="68"/>
      <c r="J13" s="22"/>
      <c r="K13" s="20"/>
      <c r="L13" s="20"/>
      <c r="N13" s="106"/>
      <c r="O13" s="81"/>
      <c r="P13" s="81"/>
      <c r="Q13" s="81"/>
    </row>
    <row r="14" spans="1:17">
      <c r="A14" s="12">
        <v>6</v>
      </c>
      <c r="B14" s="20"/>
      <c r="C14" s="69"/>
      <c r="D14" s="69"/>
      <c r="E14" s="66">
        <v>1</v>
      </c>
      <c r="F14" s="66" t="s">
        <v>157</v>
      </c>
      <c r="G14" s="73">
        <v>45996</v>
      </c>
      <c r="H14" s="73">
        <v>46008</v>
      </c>
      <c r="I14" s="68"/>
      <c r="J14" s="22"/>
      <c r="K14" s="20"/>
      <c r="L14" s="20"/>
      <c r="N14" s="106"/>
    </row>
    <row r="15" spans="1:17">
      <c r="A15" s="12">
        <v>7</v>
      </c>
      <c r="B15" s="20"/>
      <c r="C15" s="69"/>
      <c r="D15" s="69"/>
      <c r="E15" s="66">
        <v>1</v>
      </c>
      <c r="F15" s="66" t="s">
        <v>157</v>
      </c>
      <c r="G15" s="73">
        <v>45996</v>
      </c>
      <c r="H15" s="73">
        <v>46008</v>
      </c>
      <c r="I15" s="68"/>
      <c r="J15" s="20"/>
      <c r="K15" s="20"/>
      <c r="L15" s="20"/>
      <c r="N15" s="106"/>
    </row>
    <row r="16" spans="1:17">
      <c r="A16" s="12">
        <v>8</v>
      </c>
      <c r="B16" s="20"/>
      <c r="C16" s="69"/>
      <c r="D16" s="74"/>
      <c r="E16" s="66">
        <v>1</v>
      </c>
      <c r="F16" s="66" t="s">
        <v>71</v>
      </c>
      <c r="G16" s="73">
        <v>45997</v>
      </c>
      <c r="H16" s="73">
        <v>46008</v>
      </c>
      <c r="I16" s="69"/>
      <c r="J16" s="22"/>
      <c r="K16" s="20"/>
      <c r="L16" s="20"/>
      <c r="N16" s="106"/>
    </row>
    <row r="17" spans="1:14">
      <c r="A17" s="12">
        <v>9</v>
      </c>
      <c r="B17" s="69"/>
      <c r="C17" s="69"/>
      <c r="D17" s="69"/>
      <c r="E17" s="66">
        <v>1</v>
      </c>
      <c r="F17" s="66" t="s">
        <v>157</v>
      </c>
      <c r="G17" s="73">
        <v>45996</v>
      </c>
      <c r="H17" s="73">
        <v>46008</v>
      </c>
      <c r="I17" s="68"/>
      <c r="J17" s="22"/>
      <c r="K17" s="20"/>
      <c r="L17" s="20"/>
      <c r="N17" s="106"/>
    </row>
    <row r="18" spans="1:14">
      <c r="A18" s="12">
        <v>10</v>
      </c>
      <c r="B18" s="69"/>
      <c r="C18" s="69"/>
      <c r="D18" s="69"/>
      <c r="E18" s="66" t="s">
        <v>184</v>
      </c>
      <c r="F18" s="66" t="s">
        <v>106</v>
      </c>
      <c r="G18" s="73">
        <v>46003</v>
      </c>
      <c r="H18" s="73">
        <v>46008</v>
      </c>
      <c r="I18" s="69"/>
      <c r="J18" s="20"/>
      <c r="K18" s="20"/>
      <c r="L18" s="20"/>
      <c r="N18" s="106"/>
    </row>
    <row r="19" spans="1:14">
      <c r="A19" s="12">
        <v>11</v>
      </c>
      <c r="B19" s="62"/>
      <c r="C19" s="70"/>
      <c r="D19" s="74"/>
      <c r="E19" s="66">
        <v>1</v>
      </c>
      <c r="F19" s="66" t="s">
        <v>71</v>
      </c>
      <c r="G19" s="73">
        <v>45997</v>
      </c>
      <c r="H19" s="73">
        <v>46008</v>
      </c>
      <c r="I19" s="69"/>
      <c r="J19" s="69"/>
      <c r="K19" s="20"/>
      <c r="L19" s="20"/>
      <c r="N19" s="106"/>
    </row>
    <row r="20" spans="1:14">
      <c r="A20" s="12">
        <v>12</v>
      </c>
      <c r="B20" s="20"/>
      <c r="C20" s="69"/>
      <c r="D20" s="74"/>
      <c r="E20" s="66">
        <v>1</v>
      </c>
      <c r="F20" s="66" t="s">
        <v>71</v>
      </c>
      <c r="G20" s="73">
        <v>45997</v>
      </c>
      <c r="H20" s="73">
        <v>46008</v>
      </c>
      <c r="I20" s="68"/>
      <c r="J20" s="22"/>
      <c r="K20" s="20"/>
      <c r="L20" s="20"/>
      <c r="N20" s="106"/>
    </row>
    <row r="21" spans="1:14">
      <c r="A21" s="12">
        <v>13</v>
      </c>
      <c r="B21" s="69"/>
      <c r="C21" s="69"/>
      <c r="D21" s="69"/>
      <c r="E21" s="66">
        <v>1</v>
      </c>
      <c r="F21" s="66" t="s">
        <v>157</v>
      </c>
      <c r="G21" s="73">
        <v>45996</v>
      </c>
      <c r="H21" s="73">
        <v>46008</v>
      </c>
      <c r="I21" s="68"/>
      <c r="J21" s="22"/>
      <c r="K21" s="20"/>
      <c r="L21" s="20"/>
      <c r="N21" s="106"/>
    </row>
    <row r="22" spans="1:14">
      <c r="A22" s="12">
        <v>14</v>
      </c>
      <c r="B22" s="69"/>
      <c r="C22" s="69"/>
      <c r="D22" s="69"/>
      <c r="E22" s="66">
        <v>1</v>
      </c>
      <c r="F22" s="66" t="s">
        <v>157</v>
      </c>
      <c r="G22" s="73">
        <v>45996</v>
      </c>
      <c r="H22" s="73">
        <v>46008</v>
      </c>
      <c r="I22" s="68"/>
      <c r="J22" s="71"/>
      <c r="K22" s="20"/>
      <c r="L22" s="20"/>
      <c r="N22" s="106"/>
    </row>
    <row r="23" spans="1:14">
      <c r="A23" s="12">
        <v>15</v>
      </c>
      <c r="B23" s="62"/>
      <c r="C23" s="63"/>
      <c r="D23" s="64"/>
      <c r="E23" s="65">
        <v>1</v>
      </c>
      <c r="F23" s="66" t="s">
        <v>161</v>
      </c>
      <c r="G23" s="73">
        <v>45997</v>
      </c>
      <c r="H23" s="73">
        <v>46008</v>
      </c>
      <c r="I23" s="69"/>
      <c r="J23" s="20"/>
      <c r="K23" s="20"/>
      <c r="L23" s="20"/>
      <c r="N23" s="106"/>
    </row>
    <row r="24" spans="1:14">
      <c r="A24" s="12">
        <v>16</v>
      </c>
      <c r="B24" s="20"/>
      <c r="C24" s="20"/>
      <c r="D24" s="69"/>
      <c r="E24" s="17">
        <v>1</v>
      </c>
      <c r="F24" s="17" t="s">
        <v>157</v>
      </c>
      <c r="G24" s="73">
        <v>45996</v>
      </c>
      <c r="H24" s="73">
        <v>46008</v>
      </c>
      <c r="I24" s="19"/>
      <c r="J24" s="69"/>
      <c r="K24" s="20"/>
      <c r="L24" s="20"/>
      <c r="N24" s="106"/>
    </row>
    <row r="25" spans="1:14">
      <c r="A25" s="12">
        <v>17</v>
      </c>
      <c r="B25" s="20"/>
      <c r="C25" s="20"/>
      <c r="D25" s="69"/>
      <c r="E25" s="17">
        <v>1</v>
      </c>
      <c r="F25" s="17" t="s">
        <v>157</v>
      </c>
      <c r="G25" s="73">
        <v>45996</v>
      </c>
      <c r="H25" s="73">
        <v>46008</v>
      </c>
      <c r="I25" s="19"/>
      <c r="J25" s="22"/>
      <c r="K25" s="20"/>
      <c r="L25" s="20"/>
      <c r="N25" s="106"/>
    </row>
    <row r="26" spans="1:14">
      <c r="A26" s="12">
        <v>18</v>
      </c>
      <c r="B26" s="20"/>
      <c r="C26" s="20"/>
      <c r="D26" s="69"/>
      <c r="E26" s="17">
        <v>1</v>
      </c>
      <c r="F26" s="66" t="s">
        <v>157</v>
      </c>
      <c r="G26" s="73">
        <v>45996</v>
      </c>
      <c r="H26" s="73">
        <v>46008</v>
      </c>
      <c r="I26" s="19"/>
      <c r="J26" s="22"/>
      <c r="K26" s="20"/>
      <c r="L26" s="20"/>
      <c r="N26" s="106"/>
    </row>
    <row r="27" spans="1:14">
      <c r="A27" s="12">
        <v>19</v>
      </c>
      <c r="B27" s="20"/>
      <c r="C27" s="69"/>
      <c r="D27" s="74"/>
      <c r="E27" s="66">
        <v>1</v>
      </c>
      <c r="F27" s="66" t="s">
        <v>71</v>
      </c>
      <c r="G27" s="73">
        <v>45997</v>
      </c>
      <c r="H27" s="73">
        <v>46008</v>
      </c>
      <c r="I27" s="68"/>
      <c r="J27" s="71"/>
      <c r="K27" s="20"/>
      <c r="L27" s="20"/>
      <c r="N27" s="106"/>
    </row>
    <row r="28" spans="1:14">
      <c r="A28" s="12">
        <v>20</v>
      </c>
      <c r="B28" s="20"/>
      <c r="C28" s="69"/>
      <c r="D28" s="69"/>
      <c r="E28" s="66">
        <v>1</v>
      </c>
      <c r="F28" s="66" t="s">
        <v>49</v>
      </c>
      <c r="G28" s="66"/>
      <c r="H28" s="73">
        <v>46008</v>
      </c>
      <c r="I28" s="69"/>
      <c r="J28" s="69"/>
      <c r="K28" s="20"/>
      <c r="L28" s="20"/>
      <c r="N28" s="106"/>
    </row>
    <row r="29" spans="1:14">
      <c r="A29" s="12">
        <v>21</v>
      </c>
      <c r="B29" s="69"/>
      <c r="C29" s="69"/>
      <c r="D29" s="69"/>
      <c r="E29" s="66">
        <v>1</v>
      </c>
      <c r="F29" s="66" t="s">
        <v>157</v>
      </c>
      <c r="G29" s="73">
        <v>45996</v>
      </c>
      <c r="H29" s="73">
        <v>46008</v>
      </c>
      <c r="I29" s="68"/>
      <c r="J29" s="22"/>
      <c r="K29" s="20"/>
      <c r="L29" s="20"/>
      <c r="N29" s="106"/>
    </row>
    <row r="30" spans="1:14">
      <c r="A30" s="12">
        <v>22</v>
      </c>
      <c r="B30" s="20"/>
      <c r="C30" s="20"/>
      <c r="D30" s="69"/>
      <c r="E30" s="66">
        <v>1</v>
      </c>
      <c r="F30" s="66" t="s">
        <v>157</v>
      </c>
      <c r="G30" s="73">
        <v>45996</v>
      </c>
      <c r="H30" s="73">
        <v>46008</v>
      </c>
      <c r="I30" s="19"/>
      <c r="J30" s="71"/>
      <c r="K30" s="20"/>
      <c r="L30" s="20"/>
      <c r="N30" s="106"/>
    </row>
    <row r="31" spans="1:14">
      <c r="A31" s="12">
        <v>23</v>
      </c>
      <c r="B31" s="69"/>
      <c r="C31" s="69"/>
      <c r="D31" s="69"/>
      <c r="E31" s="66">
        <v>1</v>
      </c>
      <c r="F31" s="66" t="s">
        <v>92</v>
      </c>
      <c r="G31" s="73">
        <v>45996</v>
      </c>
      <c r="H31" s="73">
        <v>46008</v>
      </c>
      <c r="I31" s="68"/>
      <c r="J31" s="69"/>
      <c r="K31" s="20"/>
      <c r="L31" s="20"/>
      <c r="N31" s="106"/>
    </row>
    <row r="32" spans="1:14">
      <c r="A32" s="12">
        <v>24</v>
      </c>
      <c r="B32" s="62"/>
      <c r="C32" s="70"/>
      <c r="D32" s="66"/>
      <c r="E32" s="65" t="s">
        <v>113</v>
      </c>
      <c r="F32" s="66" t="s">
        <v>106</v>
      </c>
      <c r="G32" s="67">
        <v>46001</v>
      </c>
      <c r="H32" s="73">
        <v>46008</v>
      </c>
      <c r="I32" s="69"/>
      <c r="J32" s="71"/>
      <c r="K32" s="20"/>
      <c r="L32" s="20"/>
      <c r="N32" s="106"/>
    </row>
    <row r="33" spans="1:14">
      <c r="A33" s="12">
        <v>25</v>
      </c>
      <c r="B33" s="62"/>
      <c r="C33" s="70"/>
      <c r="D33" s="74"/>
      <c r="E33" s="66">
        <v>1</v>
      </c>
      <c r="F33" s="66" t="s">
        <v>71</v>
      </c>
      <c r="G33" s="73">
        <v>45997</v>
      </c>
      <c r="H33" s="73">
        <v>46008</v>
      </c>
      <c r="I33" s="69"/>
      <c r="J33" s="20"/>
      <c r="K33" s="20"/>
      <c r="L33" s="20"/>
      <c r="N33" s="106"/>
    </row>
    <row r="34" spans="1:14">
      <c r="A34" s="12">
        <v>26</v>
      </c>
      <c r="B34" s="69"/>
      <c r="C34" s="69"/>
      <c r="D34" s="69"/>
      <c r="E34" s="66">
        <v>1</v>
      </c>
      <c r="F34" s="17" t="s">
        <v>157</v>
      </c>
      <c r="G34" s="73">
        <v>45996</v>
      </c>
      <c r="H34" s="73">
        <v>46008</v>
      </c>
      <c r="I34" s="68"/>
      <c r="J34" s="20"/>
      <c r="K34" s="20"/>
      <c r="L34" s="20"/>
      <c r="N34" s="106"/>
    </row>
    <row r="35" spans="1:14">
      <c r="A35" s="12">
        <v>27</v>
      </c>
      <c r="B35" s="62"/>
      <c r="C35" s="63"/>
      <c r="D35" s="66"/>
      <c r="E35" s="65" t="s">
        <v>90</v>
      </c>
      <c r="F35" s="17" t="s">
        <v>162</v>
      </c>
      <c r="G35" s="73">
        <v>45997</v>
      </c>
      <c r="H35" s="73">
        <v>46008</v>
      </c>
      <c r="I35" s="69"/>
      <c r="J35" s="20"/>
      <c r="K35" s="20"/>
      <c r="L35" s="20"/>
      <c r="N35" s="106"/>
    </row>
    <row r="36" spans="1:14">
      <c r="A36" s="12">
        <v>28</v>
      </c>
      <c r="B36" s="69"/>
      <c r="C36" s="69"/>
      <c r="D36" s="69"/>
      <c r="E36" s="66">
        <v>1</v>
      </c>
      <c r="F36" s="17" t="s">
        <v>157</v>
      </c>
      <c r="G36" s="73">
        <v>45996</v>
      </c>
      <c r="H36" s="73">
        <v>46008</v>
      </c>
      <c r="I36" s="68"/>
      <c r="J36" s="20"/>
      <c r="K36" s="20"/>
      <c r="L36" s="20"/>
      <c r="N36" s="106"/>
    </row>
    <row r="37" spans="1:14">
      <c r="A37" s="12">
        <v>29</v>
      </c>
      <c r="B37" s="69"/>
      <c r="C37" s="69"/>
      <c r="D37" s="69"/>
      <c r="E37" s="66">
        <v>1</v>
      </c>
      <c r="F37" s="66" t="s">
        <v>157</v>
      </c>
      <c r="G37" s="73">
        <v>45996</v>
      </c>
      <c r="H37" s="73">
        <v>46008</v>
      </c>
      <c r="I37" s="68"/>
      <c r="J37" s="20"/>
      <c r="K37" s="20"/>
      <c r="L37" s="20"/>
      <c r="N37" s="106"/>
    </row>
    <row r="38" spans="1:14">
      <c r="A38" s="12">
        <v>30</v>
      </c>
      <c r="B38" s="69"/>
      <c r="C38" s="69"/>
      <c r="D38" s="74"/>
      <c r="E38" s="66">
        <v>1</v>
      </c>
      <c r="F38" s="66" t="s">
        <v>71</v>
      </c>
      <c r="G38" s="73">
        <v>45996</v>
      </c>
      <c r="H38" s="73">
        <v>46008</v>
      </c>
      <c r="I38" s="68"/>
      <c r="J38" s="20"/>
      <c r="K38" s="20"/>
      <c r="L38" s="20"/>
      <c r="N38" s="106"/>
    </row>
    <row r="39" spans="1:14">
      <c r="A39" s="12">
        <v>31</v>
      </c>
      <c r="B39" s="62"/>
      <c r="C39" s="70"/>
      <c r="D39" s="74"/>
      <c r="E39" s="66" t="s">
        <v>113</v>
      </c>
      <c r="F39" s="17" t="s">
        <v>106</v>
      </c>
      <c r="G39" s="67">
        <v>46001</v>
      </c>
      <c r="H39" s="73">
        <v>46008</v>
      </c>
      <c r="I39" s="69"/>
      <c r="J39" s="20"/>
      <c r="K39" s="20"/>
      <c r="L39" s="20"/>
      <c r="N39" s="106"/>
    </row>
    <row r="40" spans="1:14">
      <c r="A40" s="12">
        <v>32</v>
      </c>
      <c r="B40" s="69"/>
      <c r="C40" s="69"/>
      <c r="D40" s="69"/>
      <c r="E40" s="17">
        <v>1</v>
      </c>
      <c r="F40" s="17" t="s">
        <v>157</v>
      </c>
      <c r="G40" s="73">
        <v>45996</v>
      </c>
      <c r="H40" s="73">
        <v>46008</v>
      </c>
      <c r="I40" s="68"/>
      <c r="J40" s="20"/>
      <c r="K40" s="20"/>
      <c r="L40" s="20"/>
      <c r="N40" s="106"/>
    </row>
    <row r="41" spans="1:14">
      <c r="A41" s="12">
        <v>33</v>
      </c>
      <c r="B41" s="62"/>
      <c r="C41" s="70"/>
      <c r="D41" s="74"/>
      <c r="E41" s="17" t="s">
        <v>113</v>
      </c>
      <c r="F41" s="17" t="s">
        <v>106</v>
      </c>
      <c r="G41" s="67">
        <v>46001</v>
      </c>
      <c r="H41" s="73">
        <v>46008</v>
      </c>
      <c r="I41" s="20"/>
      <c r="J41" s="20"/>
      <c r="K41" s="20"/>
      <c r="L41" s="20"/>
      <c r="N41" s="106"/>
    </row>
    <row r="42" spans="1:14">
      <c r="A42" s="12">
        <v>34</v>
      </c>
      <c r="B42" s="62"/>
      <c r="C42" s="70"/>
      <c r="D42" s="74"/>
      <c r="E42" s="17" t="s">
        <v>98</v>
      </c>
      <c r="F42" s="17" t="s">
        <v>175</v>
      </c>
      <c r="G42" s="67">
        <v>46001</v>
      </c>
      <c r="H42" s="73">
        <v>46008</v>
      </c>
      <c r="I42" s="20"/>
      <c r="J42" s="20"/>
      <c r="K42" s="20"/>
      <c r="L42" s="20"/>
      <c r="N42" s="106"/>
    </row>
    <row r="43" spans="1:14">
      <c r="A43" s="12">
        <v>35</v>
      </c>
      <c r="B43" s="20"/>
      <c r="C43" s="20"/>
      <c r="D43" s="20"/>
      <c r="E43" s="66" t="s">
        <v>98</v>
      </c>
      <c r="F43" s="66" t="s">
        <v>106</v>
      </c>
      <c r="G43" s="73">
        <v>46008</v>
      </c>
      <c r="H43" s="73">
        <v>46008</v>
      </c>
      <c r="I43" s="20"/>
      <c r="J43" s="20"/>
      <c r="K43" s="20"/>
      <c r="L43" s="20"/>
      <c r="N43" s="106"/>
    </row>
    <row r="44" spans="1:14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  <c r="N44" s="106"/>
    </row>
  </sheetData>
  <sortState ref="B9:J44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C1CD0824-A829-466D-B99E-354B6CFFD15A}">
          <x14:formula1>
            <xm:f>#REF!</xm:f>
          </x14:formula1>
          <xm:sqref>C9:C44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E93C-D40D-466E-9796-67613E96872E}">
  <sheetPr codeName="Sheet26"/>
  <dimension ref="A1:S68"/>
  <sheetViews>
    <sheetView topLeftCell="A49" zoomScale="98" zoomScaleNormal="45" workbookViewId="0">
      <selection activeCell="F73" sqref="F73"/>
    </sheetView>
  </sheetViews>
  <sheetFormatPr defaultRowHeight="14.25"/>
  <cols>
    <col min="1" max="1" width="4.125" customWidth="1"/>
    <col min="2" max="2" width="25" customWidth="1"/>
    <col min="3" max="3" width="12.625" customWidth="1"/>
    <col min="4" max="4" width="10.625" customWidth="1"/>
    <col min="5" max="5" width="12" customWidth="1"/>
    <col min="6" max="6" width="15.625" customWidth="1"/>
    <col min="7" max="7" width="11.75" customWidth="1"/>
    <col min="8" max="8" width="10.75" customWidth="1"/>
    <col min="9" max="9" width="7.5" customWidth="1"/>
    <col min="10" max="10" width="11" customWidth="1"/>
  </cols>
  <sheetData>
    <row r="1" spans="1:19" ht="22.5">
      <c r="A1" s="115">
        <v>46009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9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9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20"/>
      <c r="L3" s="20"/>
    </row>
    <row r="4" spans="1:19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9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9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9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9" ht="38.25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J8" s="36" t="s">
        <v>57</v>
      </c>
      <c r="K8" s="36" t="s">
        <v>31</v>
      </c>
      <c r="L8" s="38" t="s">
        <v>32</v>
      </c>
    </row>
    <row r="9" spans="1:19">
      <c r="A9" s="12">
        <v>1</v>
      </c>
      <c r="B9" s="62"/>
      <c r="C9" s="70"/>
      <c r="D9" s="66"/>
      <c r="E9" s="17">
        <v>1</v>
      </c>
      <c r="F9" s="65" t="s">
        <v>71</v>
      </c>
      <c r="G9" s="37">
        <v>46001</v>
      </c>
      <c r="H9" s="68">
        <v>46009</v>
      </c>
      <c r="I9" s="110"/>
      <c r="J9" s="20"/>
      <c r="K9" s="20"/>
      <c r="L9" s="20"/>
      <c r="O9" s="81"/>
      <c r="P9" s="81"/>
      <c r="Q9" s="81"/>
      <c r="R9" s="81"/>
      <c r="S9" s="81"/>
    </row>
    <row r="10" spans="1:19">
      <c r="A10" s="12">
        <v>2</v>
      </c>
      <c r="B10" s="69"/>
      <c r="C10" s="69"/>
      <c r="D10" s="69"/>
      <c r="E10" s="108">
        <v>1</v>
      </c>
      <c r="F10" s="108" t="s">
        <v>160</v>
      </c>
      <c r="G10" s="73">
        <v>46001</v>
      </c>
      <c r="H10" s="68">
        <v>46009</v>
      </c>
      <c r="I10" s="110"/>
      <c r="J10" s="22"/>
      <c r="K10" s="20"/>
      <c r="L10" s="20"/>
      <c r="O10" s="81"/>
      <c r="P10" s="81"/>
      <c r="Q10" s="81"/>
      <c r="R10" s="81"/>
      <c r="S10" s="81"/>
    </row>
    <row r="11" spans="1:19">
      <c r="A11" s="62">
        <v>3</v>
      </c>
      <c r="B11" s="20"/>
      <c r="C11" s="20"/>
      <c r="D11" s="69"/>
      <c r="E11" s="108">
        <v>1</v>
      </c>
      <c r="F11" s="108" t="s">
        <v>160</v>
      </c>
      <c r="G11" s="73">
        <v>46001</v>
      </c>
      <c r="H11" s="68">
        <v>46009</v>
      </c>
      <c r="I11" s="110"/>
      <c r="J11" s="20"/>
      <c r="K11" s="20"/>
      <c r="L11" s="20"/>
      <c r="O11" s="81"/>
      <c r="P11" s="81"/>
      <c r="Q11" s="81"/>
      <c r="R11" s="81"/>
      <c r="S11" s="81"/>
    </row>
    <row r="12" spans="1:19">
      <c r="A12" s="62">
        <v>4</v>
      </c>
      <c r="B12" s="28"/>
      <c r="C12" s="20"/>
      <c r="D12" s="74"/>
      <c r="E12" s="17">
        <v>1</v>
      </c>
      <c r="F12" s="17" t="s">
        <v>71</v>
      </c>
      <c r="G12" s="73">
        <v>46001</v>
      </c>
      <c r="H12" s="68">
        <v>46009</v>
      </c>
      <c r="I12" s="111"/>
      <c r="J12" s="20"/>
      <c r="K12" s="20"/>
      <c r="L12" s="20"/>
      <c r="O12" s="81"/>
      <c r="P12" s="81"/>
      <c r="Q12" s="81"/>
      <c r="R12" s="81"/>
      <c r="S12" s="81"/>
    </row>
    <row r="13" spans="1:19">
      <c r="A13" s="62">
        <v>5</v>
      </c>
      <c r="B13" s="20"/>
      <c r="C13" s="20"/>
      <c r="D13" s="69"/>
      <c r="E13" s="66">
        <v>1</v>
      </c>
      <c r="F13" s="66" t="s">
        <v>75</v>
      </c>
      <c r="G13" s="73">
        <v>46001</v>
      </c>
      <c r="H13" s="68">
        <v>46009</v>
      </c>
      <c r="I13" s="110"/>
      <c r="J13" s="22"/>
      <c r="K13" s="20"/>
      <c r="L13" s="20"/>
      <c r="O13" s="81"/>
      <c r="P13" s="81"/>
      <c r="Q13" s="81"/>
      <c r="R13" s="81"/>
      <c r="S13" s="81"/>
    </row>
    <row r="14" spans="1:19">
      <c r="A14" s="62">
        <v>6</v>
      </c>
      <c r="B14" s="28"/>
      <c r="C14" s="20"/>
      <c r="D14" s="74"/>
      <c r="E14" s="66">
        <v>1</v>
      </c>
      <c r="F14" s="66" t="s">
        <v>71</v>
      </c>
      <c r="G14" s="73">
        <v>46001</v>
      </c>
      <c r="H14" s="68">
        <v>46009</v>
      </c>
      <c r="I14" s="110"/>
      <c r="J14" s="22"/>
      <c r="K14" s="20"/>
      <c r="L14" s="20"/>
      <c r="O14" s="81"/>
    </row>
    <row r="15" spans="1:19">
      <c r="A15" s="62">
        <v>7</v>
      </c>
      <c r="B15" s="69"/>
      <c r="C15" s="20"/>
      <c r="D15" s="69"/>
      <c r="E15" s="66">
        <v>1</v>
      </c>
      <c r="F15" s="66" t="s">
        <v>73</v>
      </c>
      <c r="G15" s="73">
        <v>46001</v>
      </c>
      <c r="H15" s="68">
        <v>46009</v>
      </c>
      <c r="I15" s="110"/>
      <c r="J15" s="20"/>
      <c r="K15" s="20" t="s">
        <v>83</v>
      </c>
      <c r="L15" s="20"/>
      <c r="O15" s="81"/>
    </row>
    <row r="16" spans="1:19">
      <c r="A16" s="62">
        <v>8</v>
      </c>
      <c r="B16" s="20"/>
      <c r="C16" s="20"/>
      <c r="D16" s="69"/>
      <c r="E16" s="66">
        <v>1</v>
      </c>
      <c r="F16" s="69" t="s">
        <v>75</v>
      </c>
      <c r="G16" s="73">
        <v>46001</v>
      </c>
      <c r="H16" s="68">
        <v>46009</v>
      </c>
      <c r="I16" s="110"/>
      <c r="J16" s="22"/>
      <c r="K16" s="20"/>
      <c r="L16" s="20"/>
      <c r="O16" s="81"/>
    </row>
    <row r="17" spans="1:15">
      <c r="A17" s="62">
        <v>9</v>
      </c>
      <c r="B17" s="69"/>
      <c r="C17" s="69"/>
      <c r="D17" s="69"/>
      <c r="E17" s="66">
        <v>1</v>
      </c>
      <c r="F17" s="66" t="s">
        <v>75</v>
      </c>
      <c r="G17" s="73">
        <v>46001</v>
      </c>
      <c r="H17" s="68">
        <v>46009</v>
      </c>
      <c r="I17" s="110"/>
      <c r="J17" s="22"/>
      <c r="K17" s="20"/>
      <c r="L17" s="20"/>
      <c r="O17" s="81"/>
    </row>
    <row r="18" spans="1:15">
      <c r="A18" s="62">
        <v>10</v>
      </c>
      <c r="B18" s="69"/>
      <c r="C18" s="20"/>
      <c r="D18" s="69"/>
      <c r="E18" s="108">
        <v>1</v>
      </c>
      <c r="F18" s="69" t="s">
        <v>75</v>
      </c>
      <c r="G18" s="73">
        <v>46001</v>
      </c>
      <c r="H18" s="68">
        <v>46009</v>
      </c>
      <c r="I18" s="110"/>
      <c r="J18" s="20"/>
      <c r="K18" s="20"/>
      <c r="L18" s="20"/>
      <c r="O18" s="81"/>
    </row>
    <row r="19" spans="1:15">
      <c r="A19" s="62">
        <v>11</v>
      </c>
      <c r="B19" s="69"/>
      <c r="C19" s="20"/>
      <c r="D19" s="74"/>
      <c r="E19" s="108" t="s">
        <v>151</v>
      </c>
      <c r="F19" s="108" t="s">
        <v>123</v>
      </c>
      <c r="G19" s="73">
        <v>46001</v>
      </c>
      <c r="H19" s="68">
        <v>46009</v>
      </c>
      <c r="I19" s="110"/>
      <c r="J19" s="22"/>
      <c r="K19" s="20"/>
      <c r="L19" s="20"/>
      <c r="O19" s="81"/>
    </row>
    <row r="20" spans="1:15">
      <c r="A20" s="62">
        <v>12</v>
      </c>
      <c r="B20" s="69"/>
      <c r="C20" s="20"/>
      <c r="D20" s="69"/>
      <c r="E20" s="17">
        <v>1</v>
      </c>
      <c r="F20" s="17" t="s">
        <v>75</v>
      </c>
      <c r="G20" s="73">
        <v>46001</v>
      </c>
      <c r="H20" s="68">
        <v>46009</v>
      </c>
      <c r="I20" s="110"/>
      <c r="J20" s="22"/>
      <c r="K20" s="20"/>
      <c r="L20" s="20"/>
      <c r="O20" s="81"/>
    </row>
    <row r="21" spans="1:15">
      <c r="A21" s="62">
        <v>13</v>
      </c>
      <c r="B21" s="69"/>
      <c r="C21" s="69"/>
      <c r="D21" s="69"/>
      <c r="E21" s="66" t="s">
        <v>113</v>
      </c>
      <c r="F21" s="66" t="s">
        <v>106</v>
      </c>
      <c r="G21" s="75">
        <v>46002</v>
      </c>
      <c r="H21" s="75">
        <v>46009</v>
      </c>
      <c r="I21" s="69"/>
      <c r="J21" s="22"/>
      <c r="K21" s="20"/>
      <c r="L21" s="20"/>
      <c r="O21" s="81"/>
    </row>
    <row r="22" spans="1:15">
      <c r="A22" s="62">
        <v>14</v>
      </c>
      <c r="B22" s="109"/>
      <c r="C22" s="20"/>
      <c r="D22" s="74"/>
      <c r="E22" s="66">
        <v>1</v>
      </c>
      <c r="F22" s="66" t="s">
        <v>71</v>
      </c>
      <c r="G22" s="73">
        <v>46001</v>
      </c>
      <c r="H22" s="68">
        <v>46009</v>
      </c>
      <c r="I22" s="110"/>
      <c r="J22" s="20"/>
      <c r="K22" s="20"/>
      <c r="L22" s="20"/>
      <c r="O22" s="81"/>
    </row>
    <row r="23" spans="1:15">
      <c r="A23" s="62">
        <v>15</v>
      </c>
      <c r="B23" s="28"/>
      <c r="C23" s="69"/>
      <c r="D23" s="74"/>
      <c r="E23" s="66">
        <v>1</v>
      </c>
      <c r="F23" s="66" t="s">
        <v>71</v>
      </c>
      <c r="G23" s="73">
        <v>46001</v>
      </c>
      <c r="H23" s="68">
        <v>46009</v>
      </c>
      <c r="I23" s="110"/>
      <c r="J23" s="20"/>
      <c r="K23" s="20"/>
      <c r="L23" s="20"/>
      <c r="O23" s="81"/>
    </row>
    <row r="24" spans="1:15">
      <c r="A24" s="62">
        <v>16</v>
      </c>
      <c r="B24" s="62"/>
      <c r="C24" s="70"/>
      <c r="D24" s="66"/>
      <c r="E24" s="65">
        <v>1</v>
      </c>
      <c r="F24" s="66" t="s">
        <v>73</v>
      </c>
      <c r="G24" s="73">
        <v>46001</v>
      </c>
      <c r="H24" s="68">
        <v>46009</v>
      </c>
      <c r="I24" s="110"/>
      <c r="J24" s="22"/>
      <c r="K24" s="20"/>
      <c r="L24" s="20"/>
      <c r="O24" s="81"/>
    </row>
    <row r="25" spans="1:15">
      <c r="A25" s="62">
        <v>17</v>
      </c>
      <c r="B25" s="28"/>
      <c r="C25" s="69"/>
      <c r="D25" s="74"/>
      <c r="E25" s="66">
        <v>1</v>
      </c>
      <c r="F25" s="66" t="s">
        <v>71</v>
      </c>
      <c r="G25" s="73">
        <v>46001</v>
      </c>
      <c r="H25" s="68">
        <v>46009</v>
      </c>
      <c r="I25" s="110"/>
      <c r="J25" s="22"/>
      <c r="K25" s="20"/>
      <c r="L25" s="20"/>
      <c r="O25" s="81"/>
    </row>
    <row r="26" spans="1:15">
      <c r="A26" s="62">
        <v>18</v>
      </c>
      <c r="B26" s="69"/>
      <c r="C26" s="69"/>
      <c r="D26" s="74"/>
      <c r="E26" s="66">
        <v>7</v>
      </c>
      <c r="F26" s="66" t="s">
        <v>166</v>
      </c>
      <c r="G26" s="73">
        <v>46001</v>
      </c>
      <c r="H26" s="68">
        <v>46009</v>
      </c>
      <c r="I26" s="110"/>
      <c r="J26" s="22"/>
      <c r="K26" s="20"/>
      <c r="L26" s="20"/>
      <c r="O26" s="81"/>
    </row>
    <row r="27" spans="1:15">
      <c r="A27" s="62">
        <v>19</v>
      </c>
      <c r="B27" s="69"/>
      <c r="C27" s="20"/>
      <c r="D27" s="74"/>
      <c r="E27" s="17">
        <v>1</v>
      </c>
      <c r="F27" s="17" t="s">
        <v>75</v>
      </c>
      <c r="G27" s="73">
        <v>46000</v>
      </c>
      <c r="H27" s="68">
        <v>46009</v>
      </c>
      <c r="I27" s="110"/>
      <c r="J27" s="20"/>
      <c r="K27" s="20"/>
      <c r="L27" s="20"/>
      <c r="O27" s="81"/>
    </row>
    <row r="28" spans="1:15">
      <c r="A28" s="62">
        <v>20</v>
      </c>
      <c r="B28" s="109"/>
      <c r="C28" s="69"/>
      <c r="D28" s="74"/>
      <c r="E28" s="66">
        <v>1</v>
      </c>
      <c r="F28" s="66" t="s">
        <v>71</v>
      </c>
      <c r="G28" s="73">
        <v>46001</v>
      </c>
      <c r="H28" s="68">
        <v>46009</v>
      </c>
      <c r="I28" s="59"/>
      <c r="J28" s="22"/>
      <c r="K28" s="20"/>
      <c r="L28" s="20"/>
      <c r="O28" s="81"/>
    </row>
    <row r="29" spans="1:15">
      <c r="A29" s="62">
        <v>21</v>
      </c>
      <c r="B29" s="69"/>
      <c r="C29" s="20"/>
      <c r="D29" s="69"/>
      <c r="E29" s="17" t="s">
        <v>93</v>
      </c>
      <c r="F29" s="66" t="s">
        <v>71</v>
      </c>
      <c r="G29" s="73">
        <v>46001</v>
      </c>
      <c r="H29" s="68">
        <v>46009</v>
      </c>
      <c r="I29" s="110"/>
      <c r="J29" s="22"/>
      <c r="K29" s="20"/>
      <c r="L29" s="20"/>
      <c r="O29" s="81"/>
    </row>
    <row r="30" spans="1:15">
      <c r="A30" s="62">
        <v>22</v>
      </c>
      <c r="B30" s="28"/>
      <c r="C30" s="69"/>
      <c r="D30" s="69"/>
      <c r="E30" s="66">
        <v>1</v>
      </c>
      <c r="F30" s="66" t="s">
        <v>73</v>
      </c>
      <c r="G30" s="73">
        <v>46001</v>
      </c>
      <c r="H30" s="68">
        <v>46009</v>
      </c>
      <c r="I30" s="59"/>
      <c r="J30" s="20"/>
      <c r="K30" s="20"/>
      <c r="L30" s="20"/>
      <c r="O30" s="81"/>
    </row>
    <row r="31" spans="1:15">
      <c r="A31" s="62">
        <v>23</v>
      </c>
      <c r="B31" s="28"/>
      <c r="C31" s="69"/>
      <c r="D31" s="74"/>
      <c r="E31" s="66">
        <v>1</v>
      </c>
      <c r="F31" s="66" t="s">
        <v>71</v>
      </c>
      <c r="G31" s="73">
        <v>46001</v>
      </c>
      <c r="H31" s="68">
        <v>46009</v>
      </c>
      <c r="I31" s="110"/>
      <c r="J31" s="22"/>
      <c r="K31" s="20"/>
      <c r="L31" s="20"/>
      <c r="O31" s="81"/>
    </row>
    <row r="32" spans="1:15">
      <c r="A32" s="62">
        <v>24</v>
      </c>
      <c r="B32" s="69"/>
      <c r="C32" s="69"/>
      <c r="D32" s="69"/>
      <c r="E32" s="66">
        <v>1</v>
      </c>
      <c r="F32" s="66" t="s">
        <v>75</v>
      </c>
      <c r="G32" s="73">
        <v>46001</v>
      </c>
      <c r="H32" s="68">
        <v>46009</v>
      </c>
      <c r="I32" s="59"/>
      <c r="J32" s="20"/>
      <c r="K32" s="20"/>
      <c r="L32" s="20"/>
      <c r="O32" s="81"/>
    </row>
    <row r="33" spans="1:15">
      <c r="A33" s="62">
        <v>25</v>
      </c>
      <c r="B33" s="28"/>
      <c r="C33" s="69"/>
      <c r="D33" s="74"/>
      <c r="E33" s="66">
        <v>1</v>
      </c>
      <c r="F33" s="66" t="s">
        <v>71</v>
      </c>
      <c r="G33" s="73">
        <v>46001</v>
      </c>
      <c r="H33" s="68">
        <v>46009</v>
      </c>
      <c r="I33" s="59"/>
      <c r="J33" s="20"/>
      <c r="K33" s="20"/>
      <c r="L33" s="20"/>
      <c r="O33" s="81"/>
    </row>
    <row r="34" spans="1:15">
      <c r="A34" s="62">
        <v>26</v>
      </c>
      <c r="B34" s="69"/>
      <c r="C34" s="69"/>
      <c r="D34" s="74"/>
      <c r="E34" s="66">
        <v>1</v>
      </c>
      <c r="F34" s="66" t="s">
        <v>73</v>
      </c>
      <c r="G34" s="73">
        <v>46001</v>
      </c>
      <c r="H34" s="68">
        <v>46009</v>
      </c>
      <c r="I34" s="59"/>
      <c r="J34" s="20"/>
      <c r="K34" s="20"/>
      <c r="L34" s="20"/>
      <c r="O34" s="81"/>
    </row>
    <row r="35" spans="1:15">
      <c r="A35" s="62">
        <v>27</v>
      </c>
      <c r="B35" s="69"/>
      <c r="C35" s="69"/>
      <c r="D35" s="69"/>
      <c r="E35" s="66">
        <v>4</v>
      </c>
      <c r="F35" s="17" t="s">
        <v>73</v>
      </c>
      <c r="G35" s="73">
        <v>46001</v>
      </c>
      <c r="H35" s="68">
        <v>46009</v>
      </c>
      <c r="I35" s="59"/>
      <c r="J35" s="20"/>
      <c r="K35" s="20"/>
      <c r="L35" s="20"/>
      <c r="O35" s="81"/>
    </row>
    <row r="36" spans="1:15">
      <c r="A36" s="62">
        <v>28</v>
      </c>
      <c r="B36" s="69"/>
      <c r="C36" s="69"/>
      <c r="D36" s="74"/>
      <c r="E36" s="66">
        <v>1</v>
      </c>
      <c r="F36" s="66" t="s">
        <v>71</v>
      </c>
      <c r="G36" s="73">
        <v>46001</v>
      </c>
      <c r="H36" s="68">
        <v>46009</v>
      </c>
      <c r="I36" s="59"/>
      <c r="J36" s="20"/>
      <c r="K36" s="20"/>
      <c r="L36" s="20"/>
      <c r="O36" s="81"/>
    </row>
    <row r="37" spans="1:15">
      <c r="A37" s="62">
        <v>29</v>
      </c>
      <c r="B37" s="62"/>
      <c r="C37" s="70"/>
      <c r="D37" s="66"/>
      <c r="E37" s="66">
        <v>1</v>
      </c>
      <c r="F37" s="66" t="s">
        <v>75</v>
      </c>
      <c r="G37" s="73">
        <v>46001</v>
      </c>
      <c r="H37" s="68">
        <v>46009</v>
      </c>
      <c r="I37" s="59"/>
      <c r="J37" s="20"/>
      <c r="K37" s="20"/>
      <c r="L37" s="20"/>
      <c r="O37" s="81"/>
    </row>
    <row r="38" spans="1:15">
      <c r="A38" s="12">
        <v>30</v>
      </c>
      <c r="B38" s="28"/>
      <c r="C38" s="69"/>
      <c r="D38" s="74"/>
      <c r="E38" s="66">
        <v>1</v>
      </c>
      <c r="F38" s="66" t="s">
        <v>71</v>
      </c>
      <c r="G38" s="73">
        <v>46001</v>
      </c>
      <c r="H38" s="68">
        <v>46009</v>
      </c>
      <c r="I38" s="59"/>
      <c r="J38" s="20"/>
      <c r="K38" s="20"/>
      <c r="L38" s="20"/>
      <c r="O38" s="81"/>
    </row>
    <row r="39" spans="1:15">
      <c r="A39" s="12">
        <v>31</v>
      </c>
      <c r="B39" s="69"/>
      <c r="C39" s="69"/>
      <c r="D39" s="74"/>
      <c r="E39" s="108">
        <v>2</v>
      </c>
      <c r="F39" s="108" t="s">
        <v>166</v>
      </c>
      <c r="G39" s="73">
        <v>46001</v>
      </c>
      <c r="H39" s="68">
        <v>46009</v>
      </c>
      <c r="I39" s="59"/>
      <c r="J39" s="20"/>
      <c r="K39" s="20"/>
      <c r="L39" s="20"/>
      <c r="O39" s="81"/>
    </row>
    <row r="40" spans="1:15">
      <c r="A40" s="12">
        <v>32</v>
      </c>
      <c r="B40" s="69"/>
      <c r="C40" s="69"/>
      <c r="D40" s="69"/>
      <c r="E40" s="66">
        <v>1</v>
      </c>
      <c r="F40" s="66" t="s">
        <v>71</v>
      </c>
      <c r="G40" s="73">
        <v>46001</v>
      </c>
      <c r="H40" s="68">
        <v>46009</v>
      </c>
      <c r="I40" s="59"/>
      <c r="J40" s="20"/>
      <c r="K40" s="20"/>
      <c r="L40" s="20"/>
      <c r="O40" s="81"/>
    </row>
    <row r="41" spans="1:15">
      <c r="A41" s="12">
        <v>33</v>
      </c>
      <c r="B41" s="20"/>
      <c r="C41" s="20"/>
      <c r="D41" s="74"/>
      <c r="E41" s="108">
        <v>2</v>
      </c>
      <c r="F41" s="108" t="s">
        <v>166</v>
      </c>
      <c r="G41" s="73">
        <v>46001</v>
      </c>
      <c r="H41" s="68">
        <v>46009</v>
      </c>
      <c r="I41" s="59"/>
      <c r="J41" s="20"/>
      <c r="K41" s="20"/>
      <c r="L41" s="20"/>
      <c r="O41" s="81"/>
    </row>
    <row r="42" spans="1:15">
      <c r="A42" s="12">
        <v>34</v>
      </c>
      <c r="B42" s="69"/>
      <c r="C42" s="69"/>
      <c r="D42" s="69"/>
      <c r="E42" s="17">
        <v>1</v>
      </c>
      <c r="F42" s="17" t="s">
        <v>106</v>
      </c>
      <c r="G42" s="73">
        <v>46001</v>
      </c>
      <c r="H42" s="68">
        <v>46009</v>
      </c>
      <c r="I42" s="59"/>
      <c r="J42" s="20"/>
      <c r="K42" s="20"/>
      <c r="L42" s="20"/>
      <c r="O42" s="81"/>
    </row>
    <row r="43" spans="1:15">
      <c r="A43" s="12">
        <v>35</v>
      </c>
      <c r="B43" s="62"/>
      <c r="C43" s="70"/>
      <c r="D43" s="66"/>
      <c r="E43" s="66">
        <v>1</v>
      </c>
      <c r="F43" s="66" t="s">
        <v>75</v>
      </c>
      <c r="G43" s="73">
        <v>46001</v>
      </c>
      <c r="H43" s="68">
        <v>46009</v>
      </c>
      <c r="I43" s="59"/>
      <c r="J43" s="20"/>
      <c r="K43" s="20"/>
      <c r="L43" s="20"/>
      <c r="O43" s="81"/>
    </row>
    <row r="44" spans="1:15">
      <c r="A44" s="12">
        <v>36</v>
      </c>
      <c r="B44" s="69"/>
      <c r="C44" s="20"/>
      <c r="D44" s="74"/>
      <c r="E44" s="108">
        <v>2</v>
      </c>
      <c r="F44" s="108" t="s">
        <v>166</v>
      </c>
      <c r="G44" s="73">
        <v>46001</v>
      </c>
      <c r="H44" s="68">
        <v>46009</v>
      </c>
      <c r="I44" s="59"/>
      <c r="J44" s="20"/>
      <c r="K44" s="20"/>
      <c r="L44" s="20"/>
      <c r="O44" s="81"/>
    </row>
    <row r="45" spans="1:15">
      <c r="A45" s="12">
        <v>37</v>
      </c>
      <c r="B45" s="69"/>
      <c r="C45" s="20"/>
      <c r="D45" s="69"/>
      <c r="E45" s="66">
        <v>1</v>
      </c>
      <c r="F45" s="17" t="s">
        <v>71</v>
      </c>
      <c r="G45" s="73">
        <v>46001</v>
      </c>
      <c r="H45" s="68">
        <v>46009</v>
      </c>
      <c r="I45" s="59"/>
      <c r="J45" s="20"/>
      <c r="K45" s="20"/>
      <c r="L45" s="20"/>
      <c r="O45" s="81"/>
    </row>
    <row r="46" spans="1:15">
      <c r="A46" s="12">
        <v>38</v>
      </c>
      <c r="B46" s="69"/>
      <c r="C46" s="20"/>
      <c r="D46" s="74"/>
      <c r="E46" s="17">
        <v>1</v>
      </c>
      <c r="F46" s="17" t="s">
        <v>71</v>
      </c>
      <c r="G46" s="73">
        <v>46001</v>
      </c>
      <c r="H46" s="68">
        <v>46009</v>
      </c>
      <c r="I46" s="59"/>
      <c r="J46" s="20"/>
      <c r="K46" s="20"/>
      <c r="L46" s="20"/>
      <c r="O46" s="81"/>
    </row>
    <row r="47" spans="1:15">
      <c r="A47" s="12">
        <v>39</v>
      </c>
      <c r="B47" s="28"/>
      <c r="C47" s="20"/>
      <c r="D47" s="74"/>
      <c r="E47" s="17">
        <v>1</v>
      </c>
      <c r="F47" s="17" t="s">
        <v>71</v>
      </c>
      <c r="G47" s="73">
        <v>46001</v>
      </c>
      <c r="H47" s="68">
        <v>46009</v>
      </c>
      <c r="I47" s="59"/>
      <c r="J47" s="20"/>
      <c r="K47" s="20"/>
      <c r="L47" s="20"/>
      <c r="O47" s="81"/>
    </row>
    <row r="48" spans="1:15">
      <c r="A48" s="12">
        <v>40</v>
      </c>
      <c r="B48" s="69"/>
      <c r="C48" s="69"/>
      <c r="D48" s="74"/>
      <c r="E48" s="17">
        <v>1</v>
      </c>
      <c r="F48" s="17" t="s">
        <v>71</v>
      </c>
      <c r="G48" s="73">
        <v>46001</v>
      </c>
      <c r="H48" s="68">
        <v>46009</v>
      </c>
      <c r="I48" s="59"/>
      <c r="J48" s="20"/>
      <c r="K48" s="20"/>
      <c r="L48" s="20"/>
      <c r="O48" s="81"/>
    </row>
    <row r="49" spans="1:15">
      <c r="A49" s="12">
        <v>41</v>
      </c>
      <c r="B49" s="28"/>
      <c r="C49" s="69"/>
      <c r="D49" s="74"/>
      <c r="E49" s="66">
        <v>1</v>
      </c>
      <c r="F49" s="66" t="s">
        <v>71</v>
      </c>
      <c r="G49" s="73">
        <v>46001</v>
      </c>
      <c r="H49" s="68">
        <v>46009</v>
      </c>
      <c r="I49" s="59"/>
      <c r="J49" s="20"/>
      <c r="K49" s="20"/>
      <c r="L49" s="20"/>
      <c r="O49" s="81"/>
    </row>
    <row r="50" spans="1:15">
      <c r="A50" s="12">
        <v>42</v>
      </c>
      <c r="B50" s="20"/>
      <c r="C50" s="20"/>
      <c r="D50" s="20"/>
      <c r="E50" s="108">
        <v>1</v>
      </c>
      <c r="F50" s="108" t="s">
        <v>166</v>
      </c>
      <c r="G50" s="73">
        <v>46001</v>
      </c>
      <c r="H50" s="68">
        <v>46009</v>
      </c>
      <c r="I50" s="59"/>
      <c r="J50" s="20"/>
      <c r="K50" s="20"/>
      <c r="L50" s="20"/>
      <c r="O50" s="81"/>
    </row>
    <row r="51" spans="1:15">
      <c r="A51" s="12">
        <v>43</v>
      </c>
      <c r="B51" s="69"/>
      <c r="C51" s="20"/>
      <c r="D51" s="69"/>
      <c r="E51" s="108">
        <v>2</v>
      </c>
      <c r="F51" s="108" t="s">
        <v>166</v>
      </c>
      <c r="G51" s="73">
        <v>46001</v>
      </c>
      <c r="H51" s="68">
        <v>46009</v>
      </c>
      <c r="I51" s="59"/>
      <c r="J51" s="20"/>
      <c r="K51" s="20"/>
      <c r="L51" s="20"/>
      <c r="O51" s="81"/>
    </row>
    <row r="52" spans="1:15">
      <c r="A52" s="12">
        <v>44</v>
      </c>
      <c r="B52" s="28"/>
      <c r="C52" s="69"/>
      <c r="D52" s="74"/>
      <c r="E52" s="66">
        <v>1</v>
      </c>
      <c r="F52" s="66" t="s">
        <v>71</v>
      </c>
      <c r="G52" s="73">
        <v>46001</v>
      </c>
      <c r="H52" s="68">
        <v>46009</v>
      </c>
      <c r="I52" s="59"/>
      <c r="J52" s="20"/>
      <c r="K52" s="69"/>
      <c r="L52" s="69"/>
      <c r="O52" s="81"/>
    </row>
    <row r="53" spans="1:15">
      <c r="A53" s="12">
        <v>45</v>
      </c>
      <c r="B53" s="62"/>
      <c r="C53" s="70"/>
      <c r="D53" s="74"/>
      <c r="E53" s="66">
        <v>1</v>
      </c>
      <c r="F53" s="66" t="s">
        <v>71</v>
      </c>
      <c r="G53" s="73">
        <v>46001</v>
      </c>
      <c r="H53" s="68">
        <v>46009</v>
      </c>
      <c r="I53" s="59"/>
      <c r="J53" s="20"/>
      <c r="K53" s="69"/>
      <c r="L53" s="69"/>
      <c r="O53" s="81"/>
    </row>
    <row r="54" spans="1:15">
      <c r="A54" s="12">
        <v>46</v>
      </c>
      <c r="B54" s="69"/>
      <c r="C54" s="20"/>
      <c r="D54" s="69"/>
      <c r="E54" s="108">
        <v>1</v>
      </c>
      <c r="F54" s="108" t="s">
        <v>123</v>
      </c>
      <c r="G54" s="73">
        <v>46001</v>
      </c>
      <c r="H54" s="68">
        <v>46009</v>
      </c>
      <c r="I54" s="59"/>
      <c r="J54" s="20"/>
      <c r="K54" s="69"/>
      <c r="L54" s="69"/>
      <c r="O54" s="81"/>
    </row>
    <row r="55" spans="1:15">
      <c r="A55" s="12">
        <v>47</v>
      </c>
      <c r="B55" s="69"/>
      <c r="C55" s="69"/>
      <c r="D55" s="74"/>
      <c r="E55" s="108">
        <v>1</v>
      </c>
      <c r="F55" s="108" t="s">
        <v>71</v>
      </c>
      <c r="G55" s="73">
        <v>46001</v>
      </c>
      <c r="H55" s="68">
        <v>46009</v>
      </c>
      <c r="I55" s="59"/>
      <c r="J55" s="20"/>
      <c r="K55" s="69"/>
      <c r="L55" s="69"/>
      <c r="O55" s="81"/>
    </row>
    <row r="56" spans="1:15">
      <c r="A56" s="12">
        <v>48</v>
      </c>
      <c r="B56" s="62"/>
      <c r="C56" s="70"/>
      <c r="D56" s="74"/>
      <c r="E56" s="66">
        <v>1</v>
      </c>
      <c r="F56" s="66" t="s">
        <v>71</v>
      </c>
      <c r="G56" s="73">
        <v>46001</v>
      </c>
      <c r="H56" s="68">
        <v>46009</v>
      </c>
      <c r="I56" s="59"/>
      <c r="J56" s="20"/>
      <c r="K56" s="69"/>
      <c r="L56" s="69"/>
      <c r="O56" s="81"/>
    </row>
    <row r="57" spans="1:15">
      <c r="A57" s="12">
        <v>49</v>
      </c>
      <c r="B57" s="69"/>
      <c r="C57" s="20"/>
      <c r="D57" s="69"/>
      <c r="E57" s="66">
        <v>1</v>
      </c>
      <c r="F57" s="66" t="s">
        <v>173</v>
      </c>
      <c r="G57" s="73">
        <v>45995</v>
      </c>
      <c r="H57" s="68">
        <v>46009</v>
      </c>
      <c r="I57" s="59"/>
      <c r="J57" s="20"/>
      <c r="K57" s="69"/>
      <c r="L57" s="69"/>
      <c r="O57" s="81"/>
    </row>
    <row r="58" spans="1:15">
      <c r="A58" s="12">
        <v>50</v>
      </c>
      <c r="B58" s="28"/>
      <c r="C58" s="20"/>
      <c r="D58" s="74"/>
      <c r="E58" s="66">
        <v>1</v>
      </c>
      <c r="F58" s="66" t="s">
        <v>71</v>
      </c>
      <c r="G58" s="73">
        <v>46001</v>
      </c>
      <c r="H58" s="68">
        <v>46009</v>
      </c>
      <c r="I58" s="59"/>
      <c r="J58" s="20"/>
      <c r="K58" s="69"/>
      <c r="L58" s="69"/>
      <c r="O58" s="81"/>
    </row>
    <row r="59" spans="1:15">
      <c r="A59" s="12">
        <v>51</v>
      </c>
      <c r="B59" s="69"/>
      <c r="C59" s="69"/>
      <c r="D59" s="74"/>
      <c r="E59" s="108">
        <v>1</v>
      </c>
      <c r="F59" s="108" t="s">
        <v>71</v>
      </c>
      <c r="G59" s="73">
        <v>46001</v>
      </c>
      <c r="H59" s="68">
        <v>46009</v>
      </c>
      <c r="I59" s="59"/>
      <c r="J59" s="20"/>
      <c r="K59" s="69"/>
      <c r="L59" s="69"/>
      <c r="O59" s="81"/>
    </row>
    <row r="60" spans="1:15">
      <c r="A60" s="12">
        <v>52</v>
      </c>
      <c r="B60" s="28"/>
      <c r="C60" s="69"/>
      <c r="D60" s="74"/>
      <c r="E60" s="66">
        <v>1</v>
      </c>
      <c r="F60" s="66" t="s">
        <v>73</v>
      </c>
      <c r="G60" s="73">
        <v>46001</v>
      </c>
      <c r="H60" s="68">
        <v>46009</v>
      </c>
      <c r="I60" s="59"/>
      <c r="J60" s="20"/>
      <c r="K60" s="69"/>
      <c r="L60" s="69"/>
      <c r="O60" s="81"/>
    </row>
    <row r="61" spans="1:15">
      <c r="A61" s="12">
        <v>53</v>
      </c>
      <c r="B61" s="20"/>
      <c r="C61" s="20"/>
      <c r="D61" s="20"/>
      <c r="E61" s="108">
        <v>7</v>
      </c>
      <c r="F61" s="66" t="s">
        <v>73</v>
      </c>
      <c r="G61" s="73">
        <v>46001</v>
      </c>
      <c r="H61" s="69"/>
      <c r="I61" s="59"/>
      <c r="J61" s="20"/>
      <c r="K61" s="69"/>
      <c r="L61" s="69"/>
      <c r="O61" s="81"/>
    </row>
    <row r="62" spans="1:15">
      <c r="A62" s="12">
        <v>54</v>
      </c>
      <c r="B62" s="69"/>
      <c r="C62" s="20"/>
      <c r="D62" s="69"/>
      <c r="E62" s="66">
        <v>1</v>
      </c>
      <c r="F62" s="66" t="s">
        <v>165</v>
      </c>
      <c r="G62" s="73">
        <v>46001</v>
      </c>
      <c r="H62" s="68">
        <v>46009</v>
      </c>
      <c r="I62" s="59"/>
      <c r="J62" s="20"/>
      <c r="K62" s="69"/>
      <c r="L62" s="69"/>
      <c r="O62" s="81"/>
    </row>
    <row r="63" spans="1:15">
      <c r="A63" s="12">
        <v>55</v>
      </c>
      <c r="B63" s="109"/>
      <c r="C63" s="20"/>
      <c r="D63" s="66"/>
      <c r="E63" s="65">
        <v>3</v>
      </c>
      <c r="F63" s="66" t="s">
        <v>73</v>
      </c>
      <c r="G63" s="73">
        <v>46001</v>
      </c>
      <c r="H63" s="68">
        <v>46009</v>
      </c>
      <c r="I63" s="59"/>
      <c r="J63" s="20"/>
      <c r="K63" s="69"/>
      <c r="L63" s="69"/>
      <c r="O63" s="81"/>
    </row>
    <row r="64" spans="1:15">
      <c r="A64" s="12">
        <v>56</v>
      </c>
      <c r="B64" s="20"/>
      <c r="C64" s="20"/>
      <c r="D64" s="74"/>
      <c r="E64" s="108" t="s">
        <v>188</v>
      </c>
      <c r="F64" s="108" t="s">
        <v>71</v>
      </c>
      <c r="G64" s="73">
        <v>46001</v>
      </c>
      <c r="H64" s="68">
        <v>46009</v>
      </c>
      <c r="I64" s="59"/>
      <c r="J64" s="20"/>
      <c r="K64" s="69"/>
      <c r="L64" s="69"/>
      <c r="O64" s="81"/>
    </row>
    <row r="65" spans="1:15">
      <c r="A65" s="12">
        <v>57</v>
      </c>
      <c r="B65" s="20"/>
      <c r="C65" s="20"/>
      <c r="D65" s="20"/>
      <c r="E65" s="66">
        <v>1</v>
      </c>
      <c r="F65" s="66" t="s">
        <v>174</v>
      </c>
      <c r="G65" s="73">
        <v>46001</v>
      </c>
      <c r="H65" s="68">
        <v>46009</v>
      </c>
      <c r="I65" s="59"/>
      <c r="J65" s="20"/>
      <c r="K65" s="69"/>
      <c r="L65" s="69"/>
      <c r="O65" s="81"/>
    </row>
    <row r="66" spans="1:15">
      <c r="A66" s="12">
        <v>58</v>
      </c>
      <c r="B66" s="20"/>
      <c r="C66" s="20"/>
      <c r="D66" s="20"/>
      <c r="E66" s="108">
        <v>1</v>
      </c>
      <c r="F66" s="108" t="s">
        <v>166</v>
      </c>
      <c r="G66" s="73">
        <v>46001</v>
      </c>
      <c r="H66" s="68">
        <v>46009</v>
      </c>
      <c r="I66" s="59"/>
      <c r="J66" s="20"/>
      <c r="K66" s="69"/>
      <c r="L66" s="69"/>
      <c r="O66" s="81"/>
    </row>
    <row r="67" spans="1:15">
      <c r="A67" s="12">
        <v>59</v>
      </c>
      <c r="B67" s="69"/>
      <c r="C67" s="69"/>
      <c r="D67" s="69"/>
      <c r="E67" s="108">
        <v>2</v>
      </c>
      <c r="F67" s="108" t="s">
        <v>166</v>
      </c>
      <c r="G67" s="73">
        <v>46001</v>
      </c>
      <c r="H67" s="68">
        <v>46009</v>
      </c>
      <c r="I67" s="59"/>
      <c r="J67" s="20"/>
      <c r="K67" s="69"/>
      <c r="L67" s="69"/>
      <c r="O67" s="81"/>
    </row>
    <row r="68" spans="1:15">
      <c r="A68" s="12">
        <v>60</v>
      </c>
      <c r="B68" s="20"/>
      <c r="C68" s="20"/>
      <c r="D68" s="20"/>
      <c r="E68" s="108"/>
      <c r="F68" s="108"/>
      <c r="G68" s="20"/>
      <c r="H68" s="20"/>
      <c r="I68" s="20"/>
      <c r="J68" s="20"/>
      <c r="K68" s="69"/>
      <c r="L68" s="69"/>
    </row>
  </sheetData>
  <sortState ref="B9:I68">
    <sortCondition ref="B9"/>
  </sortState>
  <mergeCells count="4">
    <mergeCell ref="A1:L1"/>
    <mergeCell ref="A2:L2"/>
    <mergeCell ref="F3:H3"/>
    <mergeCell ref="C5:E5"/>
  </mergeCells>
  <dataValidations disablePrompts="1" count="1">
    <dataValidation type="list" errorStyle="information" allowBlank="1" showInputMessage="1" showErrorMessage="1" errorTitle="Please Check Entry" error="It is recommended to pick a course from the list." sqref="C20 C58:C60" xr:uid="{5D3F9B13-2950-45CB-A522-57212715B06D}">
      <formula1>Courses</formula1>
    </dataValidation>
  </dataValidation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errorStyle="information" allowBlank="1" showInputMessage="1" showErrorMessage="1" errorTitle="Please Check Entry" error="It is recommended to pick a course from the list." xr:uid="{9E7DB81C-0ECD-44DA-92F1-F1C726FBEAB0}">
          <x14:formula1>
            <xm:f>#REF!</xm:f>
          </x14:formula1>
          <xm:sqref>C9:C19 C21:C57 C61:C68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A880-A53B-41E0-847D-ED18C53D5011}">
  <sheetPr codeName="Sheet27"/>
  <dimension ref="A1:L22"/>
  <sheetViews>
    <sheetView topLeftCell="A9" zoomScale="98" zoomScaleNormal="45" workbookViewId="0">
      <selection activeCell="A23" sqref="A23:XFD265"/>
    </sheetView>
  </sheetViews>
  <sheetFormatPr defaultRowHeight="14.25"/>
  <cols>
    <col min="1" max="1" width="4.125" customWidth="1"/>
    <col min="2" max="2" width="19" customWidth="1"/>
    <col min="3" max="3" width="12.625" customWidth="1"/>
    <col min="4" max="4" width="8.25" customWidth="1"/>
    <col min="5" max="5" width="10.75" customWidth="1"/>
    <col min="6" max="6" width="15.625" customWidth="1"/>
    <col min="7" max="7" width="11.75" customWidth="1"/>
    <col min="8" max="8" width="10.375" customWidth="1"/>
    <col min="9" max="9" width="11.75" customWidth="1"/>
    <col min="10" max="10" width="8" customWidth="1"/>
  </cols>
  <sheetData>
    <row r="1" spans="1:12" ht="22.5">
      <c r="A1" s="115">
        <v>46010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105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36" t="s">
        <v>31</v>
      </c>
      <c r="I8" s="36" t="s">
        <v>57</v>
      </c>
      <c r="J8" s="36" t="s">
        <v>31</v>
      </c>
      <c r="K8" s="38" t="s">
        <v>32</v>
      </c>
      <c r="L8" s="20"/>
    </row>
    <row r="9" spans="1:12">
      <c r="A9" s="12">
        <v>1</v>
      </c>
      <c r="B9" s="20"/>
      <c r="C9" s="20"/>
      <c r="D9" s="74" t="s">
        <v>72</v>
      </c>
      <c r="E9" s="17"/>
      <c r="F9" s="17"/>
      <c r="G9" s="37">
        <v>46001</v>
      </c>
      <c r="H9" s="73">
        <v>46010</v>
      </c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73">
        <v>46001</v>
      </c>
      <c r="H10" s="73">
        <v>46010</v>
      </c>
      <c r="I10" s="19"/>
      <c r="J10" s="22"/>
      <c r="K10" s="20"/>
      <c r="L10" s="20"/>
    </row>
    <row r="11" spans="1:12">
      <c r="A11" s="12">
        <v>3</v>
      </c>
      <c r="B11" s="20"/>
      <c r="C11" s="20"/>
      <c r="D11" s="20"/>
      <c r="E11" s="17"/>
      <c r="F11" s="17"/>
      <c r="G11" s="73">
        <v>46001</v>
      </c>
      <c r="H11" s="73">
        <v>46010</v>
      </c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73">
        <v>46001</v>
      </c>
      <c r="H12" s="73">
        <v>46010</v>
      </c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73">
        <v>46001</v>
      </c>
      <c r="H13" s="73">
        <v>46010</v>
      </c>
      <c r="I13" s="19"/>
      <c r="J13" s="22"/>
      <c r="K13" s="20"/>
      <c r="L13" s="20"/>
    </row>
    <row r="14" spans="1:12">
      <c r="A14" s="12">
        <v>6</v>
      </c>
      <c r="B14" s="20"/>
      <c r="C14" s="20"/>
      <c r="D14" s="20"/>
      <c r="E14" s="17"/>
      <c r="F14" s="17"/>
      <c r="G14" s="73">
        <v>46001</v>
      </c>
      <c r="H14" s="73">
        <v>46010</v>
      </c>
      <c r="I14" s="19"/>
      <c r="J14" s="22"/>
      <c r="K14" s="20"/>
      <c r="L14" s="20"/>
    </row>
    <row r="15" spans="1:12">
      <c r="A15" s="12">
        <v>7</v>
      </c>
      <c r="B15" s="20"/>
      <c r="C15" s="20"/>
      <c r="D15" s="20"/>
      <c r="E15" s="16"/>
      <c r="F15" s="17"/>
      <c r="G15" s="73">
        <v>46001</v>
      </c>
      <c r="H15" s="73">
        <v>46010</v>
      </c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73">
        <v>46001</v>
      </c>
      <c r="H16" s="73">
        <v>46010</v>
      </c>
      <c r="I16" s="19"/>
      <c r="J16" s="22"/>
      <c r="K16" s="20"/>
      <c r="L16" s="20"/>
    </row>
    <row r="17" spans="1:12">
      <c r="A17" s="12">
        <v>9</v>
      </c>
      <c r="B17" s="20"/>
      <c r="C17" s="20"/>
      <c r="D17" s="20"/>
      <c r="E17" s="17"/>
      <c r="F17" s="17"/>
      <c r="G17" s="73">
        <v>46001</v>
      </c>
      <c r="H17" s="73">
        <v>46010</v>
      </c>
      <c r="I17" s="19"/>
      <c r="J17" s="22"/>
      <c r="K17" s="20"/>
      <c r="L17" s="20"/>
    </row>
    <row r="18" spans="1:12">
      <c r="A18" s="12">
        <v>10</v>
      </c>
      <c r="B18" s="20"/>
      <c r="C18" s="20"/>
      <c r="D18" s="20"/>
      <c r="E18" s="17"/>
      <c r="F18" s="17"/>
      <c r="G18" s="73">
        <v>46001</v>
      </c>
      <c r="H18" s="73">
        <v>46010</v>
      </c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73">
        <v>46001</v>
      </c>
      <c r="H19" s="73">
        <v>46010</v>
      </c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73">
        <v>46001</v>
      </c>
      <c r="H20" s="73">
        <v>46010</v>
      </c>
      <c r="I20" s="19"/>
      <c r="J20" s="22"/>
      <c r="K20" s="20"/>
      <c r="L20" s="20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0"/>
      <c r="L21" s="20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</sheetData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CCB85C98-6FC8-448B-A266-3C822D5D6FC2}">
          <x14:formula1>
            <xm:f>#REF!</xm:f>
          </x14:formula1>
          <xm:sqref>C9:C22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S32"/>
  <sheetViews>
    <sheetView topLeftCell="A13" zoomScale="98" zoomScaleNormal="45" workbookViewId="0">
      <selection activeCell="O34" sqref="O34"/>
    </sheetView>
  </sheetViews>
  <sheetFormatPr defaultRowHeight="14.25"/>
  <cols>
    <col min="1" max="1" width="4.125" customWidth="1"/>
    <col min="2" max="2" width="23.75" customWidth="1"/>
    <col min="3" max="3" width="11" customWidth="1"/>
    <col min="4" max="4" width="7.25" customWidth="1"/>
    <col min="5" max="5" width="6.875" customWidth="1"/>
    <col min="6" max="6" width="13" customWidth="1"/>
    <col min="7" max="7" width="11.25" customWidth="1"/>
    <col min="8" max="8" width="10.25" customWidth="1"/>
    <col min="9" max="9" width="9.375" customWidth="1"/>
  </cols>
  <sheetData>
    <row r="1" spans="1:19" ht="22.5">
      <c r="A1" s="115">
        <v>46013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>
        <v>2</v>
      </c>
    </row>
    <row r="2" spans="1:19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9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5"/>
      <c r="L3" s="6"/>
    </row>
    <row r="4" spans="1:19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8"/>
      <c r="L4" s="9"/>
    </row>
    <row r="5" spans="1:19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0"/>
      <c r="L5" s="2"/>
    </row>
    <row r="6" spans="1:19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8"/>
      <c r="L6" s="9"/>
    </row>
    <row r="7" spans="1:19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0"/>
      <c r="L7" s="2"/>
    </row>
    <row r="8" spans="1:19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 t="s">
        <v>32</v>
      </c>
      <c r="L8" s="36" t="s">
        <v>180</v>
      </c>
    </row>
    <row r="9" spans="1:19">
      <c r="A9" s="12">
        <v>1</v>
      </c>
      <c r="B9" s="20"/>
      <c r="C9" s="20"/>
      <c r="D9" s="20"/>
      <c r="E9" s="17">
        <v>1</v>
      </c>
      <c r="F9" s="17" t="s">
        <v>115</v>
      </c>
      <c r="G9" s="37">
        <v>46002</v>
      </c>
      <c r="H9" s="37">
        <v>46013</v>
      </c>
      <c r="I9" s="19"/>
      <c r="J9" s="20"/>
      <c r="K9" s="20"/>
      <c r="L9" s="20"/>
      <c r="O9" s="81"/>
      <c r="P9" s="81"/>
      <c r="Q9" s="81"/>
      <c r="R9" s="81"/>
      <c r="S9" s="81"/>
    </row>
    <row r="10" spans="1:19">
      <c r="A10" s="12">
        <v>2</v>
      </c>
      <c r="B10" s="20"/>
      <c r="C10" s="20"/>
      <c r="D10" s="20"/>
      <c r="E10" s="17">
        <v>1</v>
      </c>
      <c r="F10" s="17" t="s">
        <v>115</v>
      </c>
      <c r="G10" s="37">
        <v>46002</v>
      </c>
      <c r="H10" s="73">
        <v>46013</v>
      </c>
      <c r="I10" s="68"/>
      <c r="J10" s="69"/>
      <c r="K10" s="23"/>
      <c r="L10" s="23"/>
      <c r="O10" s="81"/>
      <c r="P10" s="81"/>
      <c r="Q10" s="81"/>
      <c r="R10" s="81"/>
      <c r="S10" s="81"/>
    </row>
    <row r="11" spans="1:19">
      <c r="A11" s="12">
        <v>3</v>
      </c>
      <c r="B11" s="20"/>
      <c r="C11" s="20"/>
      <c r="D11" s="20"/>
      <c r="E11" s="17">
        <v>3</v>
      </c>
      <c r="F11" s="66" t="s">
        <v>117</v>
      </c>
      <c r="G11" s="73">
        <v>46002</v>
      </c>
      <c r="H11" s="73">
        <v>46013</v>
      </c>
      <c r="I11" s="68"/>
      <c r="J11" s="71"/>
      <c r="K11" s="20"/>
      <c r="L11" s="20"/>
      <c r="O11" s="81"/>
      <c r="P11" s="81"/>
      <c r="Q11" s="81"/>
      <c r="R11" s="81"/>
      <c r="S11" s="81"/>
    </row>
    <row r="12" spans="1:19">
      <c r="A12" s="12">
        <v>4</v>
      </c>
      <c r="B12" s="69"/>
      <c r="C12" s="69"/>
      <c r="D12" s="69"/>
      <c r="E12" s="66">
        <v>1</v>
      </c>
      <c r="F12" s="66" t="s">
        <v>117</v>
      </c>
      <c r="G12" s="73">
        <v>46002</v>
      </c>
      <c r="H12" s="73">
        <v>46013</v>
      </c>
      <c r="I12" s="68"/>
      <c r="J12" s="20"/>
      <c r="K12" s="20"/>
      <c r="L12" s="20"/>
      <c r="O12" s="81"/>
      <c r="P12" s="81"/>
      <c r="Q12" s="81"/>
      <c r="R12" s="81"/>
      <c r="S12" s="81"/>
    </row>
    <row r="13" spans="1:19">
      <c r="A13" s="12">
        <v>5</v>
      </c>
      <c r="B13" s="62"/>
      <c r="C13" s="70"/>
      <c r="D13" s="66"/>
      <c r="E13" s="65">
        <v>1</v>
      </c>
      <c r="F13" s="17" t="s">
        <v>115</v>
      </c>
      <c r="G13" s="73">
        <v>46002</v>
      </c>
      <c r="H13" s="73">
        <v>46013</v>
      </c>
      <c r="I13" s="68"/>
      <c r="J13" s="22"/>
      <c r="K13" s="23"/>
      <c r="L13" s="23"/>
      <c r="O13" s="81"/>
      <c r="P13" s="81"/>
      <c r="Q13" s="81"/>
      <c r="R13" s="81"/>
      <c r="S13" s="81"/>
    </row>
    <row r="14" spans="1:19">
      <c r="A14" s="12">
        <v>6</v>
      </c>
      <c r="B14" s="20"/>
      <c r="C14" s="70"/>
      <c r="D14" s="20"/>
      <c r="E14" s="17">
        <v>1</v>
      </c>
      <c r="F14" s="17" t="s">
        <v>49</v>
      </c>
      <c r="G14" s="73">
        <v>46002</v>
      </c>
      <c r="H14" s="73">
        <v>46013</v>
      </c>
      <c r="I14" s="68"/>
      <c r="J14" s="69"/>
      <c r="K14" s="23"/>
      <c r="L14" s="23"/>
      <c r="O14" s="81"/>
    </row>
    <row r="15" spans="1:19">
      <c r="A15" s="12">
        <v>7</v>
      </c>
      <c r="B15" s="20"/>
      <c r="C15" s="20"/>
      <c r="D15" s="20"/>
      <c r="E15" s="17">
        <v>1</v>
      </c>
      <c r="F15" s="17" t="s">
        <v>117</v>
      </c>
      <c r="G15" s="73">
        <v>46002</v>
      </c>
      <c r="H15" s="73">
        <v>46013</v>
      </c>
      <c r="I15" s="68"/>
      <c r="J15" s="20"/>
      <c r="K15" s="20"/>
      <c r="L15" s="20"/>
      <c r="O15" s="81"/>
    </row>
    <row r="16" spans="1:19">
      <c r="A16" s="12">
        <v>8</v>
      </c>
      <c r="B16" s="20"/>
      <c r="C16" s="69"/>
      <c r="D16" s="20"/>
      <c r="E16" s="17">
        <v>1</v>
      </c>
      <c r="F16" s="17" t="s">
        <v>176</v>
      </c>
      <c r="G16" s="73">
        <v>46002</v>
      </c>
      <c r="H16" s="73">
        <v>46013</v>
      </c>
      <c r="I16" s="68"/>
      <c r="J16" s="69"/>
      <c r="K16" s="23"/>
      <c r="L16" s="23"/>
      <c r="O16" s="81"/>
    </row>
    <row r="17" spans="1:15">
      <c r="A17" s="12">
        <v>9</v>
      </c>
      <c r="B17" s="62"/>
      <c r="C17" s="70"/>
      <c r="D17" s="66"/>
      <c r="E17" s="65">
        <v>1</v>
      </c>
      <c r="F17" s="17" t="s">
        <v>115</v>
      </c>
      <c r="G17" s="73">
        <v>46002</v>
      </c>
      <c r="H17" s="73">
        <v>46013</v>
      </c>
      <c r="I17" s="68"/>
      <c r="J17" s="22"/>
      <c r="K17" s="23"/>
      <c r="L17" s="23"/>
      <c r="O17" s="81"/>
    </row>
    <row r="18" spans="1:15">
      <c r="A18" s="12">
        <v>10</v>
      </c>
      <c r="B18" s="20"/>
      <c r="C18" s="69"/>
      <c r="D18" s="20"/>
      <c r="E18" s="17">
        <v>1</v>
      </c>
      <c r="F18" s="17" t="s">
        <v>115</v>
      </c>
      <c r="G18" s="73">
        <v>46002</v>
      </c>
      <c r="H18" s="73">
        <v>46013</v>
      </c>
      <c r="I18" s="68"/>
      <c r="J18" s="71"/>
      <c r="K18" s="20"/>
      <c r="L18" s="20"/>
      <c r="O18" s="81"/>
    </row>
    <row r="19" spans="1:15">
      <c r="A19" s="12">
        <v>11</v>
      </c>
      <c r="B19" s="20"/>
      <c r="C19" s="20"/>
      <c r="D19" s="20"/>
      <c r="E19" s="17">
        <v>1</v>
      </c>
      <c r="F19" s="17" t="s">
        <v>117</v>
      </c>
      <c r="G19" s="73">
        <v>46002</v>
      </c>
      <c r="H19" s="73">
        <v>46013</v>
      </c>
      <c r="I19" s="68"/>
      <c r="J19" s="69"/>
      <c r="K19" s="20"/>
      <c r="L19" s="20"/>
      <c r="O19" s="81"/>
    </row>
    <row r="20" spans="1:15">
      <c r="A20" s="12">
        <v>12</v>
      </c>
      <c r="B20" s="20"/>
      <c r="C20" s="20"/>
      <c r="D20" s="20"/>
      <c r="E20" s="17">
        <v>1</v>
      </c>
      <c r="F20" s="17" t="s">
        <v>115</v>
      </c>
      <c r="G20" s="73">
        <v>46002</v>
      </c>
      <c r="H20" s="73">
        <v>46013</v>
      </c>
      <c r="I20" s="68"/>
      <c r="J20" s="69"/>
      <c r="K20" s="23"/>
      <c r="L20" s="23"/>
      <c r="O20" s="81"/>
    </row>
    <row r="21" spans="1:15">
      <c r="A21" s="12">
        <v>13</v>
      </c>
      <c r="B21" s="20"/>
      <c r="C21" s="69"/>
      <c r="D21" s="20"/>
      <c r="E21" s="66">
        <v>1</v>
      </c>
      <c r="F21" s="17" t="s">
        <v>115</v>
      </c>
      <c r="G21" s="73">
        <v>46002</v>
      </c>
      <c r="H21" s="73">
        <v>46013</v>
      </c>
      <c r="I21" s="68"/>
      <c r="J21" s="22"/>
      <c r="K21" s="23" t="s">
        <v>83</v>
      </c>
      <c r="L21" s="23"/>
      <c r="O21" s="81"/>
    </row>
    <row r="22" spans="1:15">
      <c r="A22" s="12">
        <v>14</v>
      </c>
      <c r="B22" s="20"/>
      <c r="C22" s="70"/>
      <c r="D22" s="20"/>
      <c r="E22" s="66">
        <v>1</v>
      </c>
      <c r="F22" s="17" t="s">
        <v>115</v>
      </c>
      <c r="G22" s="73">
        <v>46002</v>
      </c>
      <c r="H22" s="73">
        <v>46013</v>
      </c>
      <c r="I22" s="68"/>
      <c r="J22" s="71"/>
      <c r="K22" s="20"/>
      <c r="L22" s="20" t="s">
        <v>83</v>
      </c>
      <c r="O22" s="81"/>
    </row>
    <row r="23" spans="1:15">
      <c r="A23" s="12">
        <v>15</v>
      </c>
      <c r="B23" s="20"/>
      <c r="C23" s="20"/>
      <c r="D23" s="20"/>
      <c r="E23" s="17">
        <v>1</v>
      </c>
      <c r="F23" s="17" t="s">
        <v>117</v>
      </c>
      <c r="G23" s="73">
        <v>46001</v>
      </c>
      <c r="H23" s="73">
        <v>46013</v>
      </c>
      <c r="I23" s="68"/>
      <c r="J23" s="71"/>
      <c r="K23" s="20"/>
      <c r="L23" s="20"/>
      <c r="O23" s="81"/>
    </row>
    <row r="24" spans="1:15">
      <c r="A24" s="12">
        <v>16</v>
      </c>
      <c r="B24" s="69"/>
      <c r="C24" s="69"/>
      <c r="D24" s="69"/>
      <c r="E24" s="66">
        <v>1</v>
      </c>
      <c r="F24" s="17" t="s">
        <v>117</v>
      </c>
      <c r="G24" s="73">
        <v>46002</v>
      </c>
      <c r="H24" s="73">
        <v>46013</v>
      </c>
      <c r="I24" s="68"/>
      <c r="J24" s="22"/>
      <c r="K24" s="23"/>
      <c r="L24" s="23"/>
      <c r="O24" s="81"/>
    </row>
    <row r="25" spans="1:15">
      <c r="A25" s="12">
        <v>17</v>
      </c>
      <c r="B25" s="20"/>
      <c r="C25" s="69"/>
      <c r="D25" s="20"/>
      <c r="E25" s="17">
        <v>1</v>
      </c>
      <c r="F25" s="17" t="s">
        <v>115</v>
      </c>
      <c r="G25" s="73">
        <v>46002</v>
      </c>
      <c r="H25" s="73">
        <v>46013</v>
      </c>
      <c r="I25" s="68"/>
      <c r="J25" s="22"/>
      <c r="K25" s="23"/>
      <c r="L25" s="23"/>
      <c r="O25" s="81"/>
    </row>
    <row r="26" spans="1:15">
      <c r="A26" s="12">
        <v>18</v>
      </c>
      <c r="B26" s="69"/>
      <c r="C26" s="69"/>
      <c r="D26" s="69"/>
      <c r="E26" s="66">
        <v>3</v>
      </c>
      <c r="F26" s="17" t="s">
        <v>117</v>
      </c>
      <c r="G26" s="73">
        <v>46002</v>
      </c>
      <c r="H26" s="73">
        <v>46013</v>
      </c>
      <c r="I26" s="68"/>
      <c r="J26" s="22"/>
      <c r="K26" s="23"/>
      <c r="L26" s="23"/>
      <c r="O26" s="81"/>
    </row>
    <row r="27" spans="1:15">
      <c r="A27" s="12">
        <v>19</v>
      </c>
      <c r="B27" s="20"/>
      <c r="C27" s="69"/>
      <c r="D27" s="20"/>
      <c r="E27" s="17">
        <v>1</v>
      </c>
      <c r="F27" s="17" t="s">
        <v>115</v>
      </c>
      <c r="G27" s="73">
        <v>46002</v>
      </c>
      <c r="H27" s="73">
        <v>46013</v>
      </c>
      <c r="I27" s="68"/>
      <c r="J27" s="71"/>
      <c r="K27" s="20"/>
      <c r="L27" s="20"/>
      <c r="O27" s="81"/>
    </row>
    <row r="28" spans="1:15">
      <c r="A28" s="12">
        <v>20</v>
      </c>
      <c r="B28" s="20"/>
      <c r="C28" s="20"/>
      <c r="D28" s="20"/>
      <c r="E28" s="17">
        <v>1</v>
      </c>
      <c r="F28" s="17" t="s">
        <v>123</v>
      </c>
      <c r="G28" s="73">
        <v>46002</v>
      </c>
      <c r="H28" s="73">
        <v>46013</v>
      </c>
      <c r="I28" s="68"/>
      <c r="J28" s="22"/>
      <c r="K28" s="23"/>
      <c r="L28" s="23"/>
      <c r="O28" s="81"/>
    </row>
    <row r="29" spans="1:15">
      <c r="A29" s="12">
        <v>21</v>
      </c>
      <c r="B29" s="20"/>
      <c r="C29" s="69"/>
      <c r="D29" s="20"/>
      <c r="E29" s="17">
        <v>2</v>
      </c>
      <c r="F29" s="17" t="s">
        <v>123</v>
      </c>
      <c r="G29" s="73">
        <v>46002</v>
      </c>
      <c r="H29" s="73">
        <v>46013</v>
      </c>
      <c r="I29" s="68"/>
      <c r="J29" s="22"/>
      <c r="K29" s="23"/>
      <c r="L29" s="23"/>
      <c r="O29" s="81"/>
    </row>
    <row r="30" spans="1:15">
      <c r="A30" s="12">
        <v>22</v>
      </c>
      <c r="B30" s="20"/>
      <c r="C30" s="20"/>
      <c r="D30" s="20"/>
      <c r="E30" s="17" t="s">
        <v>141</v>
      </c>
      <c r="F30" s="17" t="s">
        <v>176</v>
      </c>
      <c r="G30" s="73">
        <v>46008</v>
      </c>
      <c r="H30" s="73">
        <v>46013</v>
      </c>
      <c r="I30" s="68"/>
      <c r="J30" s="20"/>
      <c r="K30" s="20"/>
      <c r="L30" s="20"/>
    </row>
    <row r="31" spans="1:15">
      <c r="A31" s="12">
        <v>23</v>
      </c>
      <c r="B31" s="20"/>
      <c r="C31" s="20"/>
      <c r="D31" s="39"/>
      <c r="E31" s="17"/>
      <c r="F31" s="17"/>
      <c r="G31" s="73"/>
      <c r="H31" s="73"/>
      <c r="I31" s="19"/>
      <c r="J31" s="22"/>
      <c r="K31" s="23"/>
      <c r="L31" s="23"/>
    </row>
    <row r="32" spans="1:15">
      <c r="A32" s="12">
        <v>24</v>
      </c>
      <c r="B32" s="20"/>
      <c r="C32" s="20"/>
      <c r="D32" s="20"/>
      <c r="E32" s="17"/>
      <c r="F32" s="17"/>
      <c r="G32" s="73"/>
      <c r="H32" s="73"/>
      <c r="I32" s="19"/>
      <c r="J32" s="20"/>
      <c r="K32" s="20"/>
      <c r="L32" s="20"/>
    </row>
  </sheetData>
  <sortState ref="B9:J31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15" xr:uid="{1D2EC5AD-9BAA-4565-8C87-2742DB6AAB26}">
      <formula1>Courses</formula1>
    </dataValidation>
  </dataValidation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248CD7FE-8291-4C3A-A2F3-0DFA78D4B92F}">
          <x14:formula1>
            <xm:f>#REF!</xm:f>
          </x14:formula1>
          <xm:sqref>C9:C14 C16:C32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258"/>
  <sheetViews>
    <sheetView topLeftCell="A40" zoomScale="98" zoomScaleNormal="45" workbookViewId="0">
      <selection activeCell="K38" sqref="K38"/>
    </sheetView>
  </sheetViews>
  <sheetFormatPr defaultColWidth="10" defaultRowHeight="14.25"/>
  <cols>
    <col min="1" max="1" width="7.125" customWidth="1"/>
    <col min="2" max="2" width="21.375" bestFit="1" customWidth="1"/>
    <col min="3" max="3" width="10.875" customWidth="1"/>
  </cols>
  <sheetData>
    <row r="1" spans="1:12" ht="22.5">
      <c r="A1" s="115">
        <v>46014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6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39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39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6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39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39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26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9D2FAFA6-8F05-4383-B368-93718A952F52}">
          <x14:formula1>
            <xm:f>#REF!</xm:f>
          </x14:formula1>
          <xm:sqref>C9:C100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258"/>
  <sheetViews>
    <sheetView zoomScale="98" zoomScaleNormal="45" workbookViewId="0">
      <selection activeCell="J242" sqref="J242"/>
    </sheetView>
  </sheetViews>
  <sheetFormatPr defaultRowHeight="14.25"/>
  <cols>
    <col min="1" max="1" width="4.125" customWidth="1"/>
    <col min="2" max="2" width="23.375" customWidth="1"/>
    <col min="3" max="3" width="12.125" customWidth="1"/>
    <col min="4" max="4" width="8.625" customWidth="1"/>
    <col min="5" max="5" width="6.625" customWidth="1"/>
    <col min="6" max="6" width="16.5" customWidth="1"/>
    <col min="7" max="7" width="10.125" customWidth="1"/>
    <col min="8" max="8" width="10" customWidth="1"/>
    <col min="9" max="9" width="8" customWidth="1"/>
  </cols>
  <sheetData>
    <row r="1" spans="1:12" ht="22.5">
      <c r="A1" s="115">
        <v>46015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9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7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0"/>
      <c r="K10" s="20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2"/>
      <c r="K11" s="23"/>
      <c r="L11" s="20"/>
    </row>
    <row r="12" spans="1:12">
      <c r="A12" s="12">
        <v>4</v>
      </c>
      <c r="B12" s="20"/>
      <c r="C12" s="20"/>
      <c r="D12" s="39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39"/>
      <c r="E13" s="17"/>
      <c r="F13" s="17"/>
      <c r="G13" s="37"/>
      <c r="H13" s="37"/>
      <c r="I13" s="19"/>
      <c r="J13" s="20"/>
      <c r="K13" s="20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2"/>
      <c r="K15" s="23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0"/>
      <c r="K16" s="20"/>
      <c r="L16" s="23"/>
    </row>
    <row r="17" spans="1:12">
      <c r="A17" s="12">
        <v>9</v>
      </c>
      <c r="B17" s="20"/>
      <c r="C17" s="20"/>
      <c r="D17" s="39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3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20"/>
      <c r="C20" s="20"/>
      <c r="D20" s="39"/>
      <c r="E20" s="17"/>
      <c r="F20" s="17"/>
      <c r="G20" s="37"/>
      <c r="H20" s="37"/>
      <c r="I20" s="19"/>
      <c r="J20" s="22"/>
      <c r="K20" s="20"/>
      <c r="L20" s="23"/>
    </row>
    <row r="21" spans="1:12">
      <c r="A21" s="12">
        <v>13</v>
      </c>
      <c r="B21" s="20"/>
      <c r="C21" s="20"/>
      <c r="D21" s="39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12"/>
      <c r="C22" s="20"/>
      <c r="D22" s="17"/>
      <c r="E22" s="17"/>
      <c r="F22" s="17"/>
      <c r="G22" s="37"/>
      <c r="H22" s="37"/>
      <c r="I22" s="19"/>
      <c r="J22" s="22"/>
      <c r="K22" s="23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2"/>
      <c r="K23" s="23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0"/>
      <c r="K24" s="20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20"/>
      <c r="J25" s="20"/>
      <c r="K25" s="20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0"/>
      <c r="K26" s="20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2"/>
      <c r="K27" s="23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6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20"/>
      <c r="J31" s="20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2"/>
      <c r="K32" s="23"/>
      <c r="L32" s="20"/>
    </row>
    <row r="33" spans="1:12">
      <c r="A33" s="12">
        <v>25</v>
      </c>
      <c r="B33" s="12"/>
      <c r="C33" s="21"/>
      <c r="D33" s="17"/>
      <c r="E33" s="16"/>
      <c r="F33" s="17"/>
      <c r="G33" s="37"/>
      <c r="H33" s="37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K45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A8D56180-D0D0-4CF4-BF43-19A8F6F77C14}">
          <x14:formula1>
            <xm:f>#REF!</xm:f>
          </x14:formula1>
          <xm:sqref>C9:C100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258"/>
  <sheetViews>
    <sheetView zoomScale="98" zoomScaleNormal="45" workbookViewId="0">
      <selection activeCell="K19" sqref="K19"/>
    </sheetView>
  </sheetViews>
  <sheetFormatPr defaultRowHeight="14.25"/>
  <cols>
    <col min="1" max="1" width="4.125" customWidth="1"/>
    <col min="2" max="2" width="17.75" customWidth="1"/>
    <col min="3" max="3" width="13.375" customWidth="1"/>
    <col min="4" max="4" width="13.5" customWidth="1"/>
    <col min="5" max="5" width="6.5" customWidth="1"/>
    <col min="6" max="6" width="13.875" customWidth="1"/>
    <col min="7" max="7" width="10" customWidth="1"/>
    <col min="8" max="8" width="10.5" customWidth="1"/>
    <col min="9" max="9" width="8.875" customWidth="1"/>
  </cols>
  <sheetData>
    <row r="1" spans="1:12" ht="22.5">
      <c r="A1" s="115">
        <v>46016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6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20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23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F6F7C242-5FCD-45C0-BBD7-870260D3491F}">
          <x14:formula1>
            <xm:f>#REF!</xm:f>
          </x14:formula1>
          <xm:sqref>C9:C100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46668-C79C-4BCC-8FAD-EEFED327DE90}">
  <sheetPr codeName="Sheet29"/>
  <dimension ref="A1:L36"/>
  <sheetViews>
    <sheetView topLeftCell="A17" zoomScale="98" zoomScaleNormal="45" workbookViewId="0">
      <selection activeCell="K35" sqref="K35"/>
    </sheetView>
  </sheetViews>
  <sheetFormatPr defaultRowHeight="14.25"/>
  <cols>
    <col min="1" max="1" width="4.125" customWidth="1"/>
    <col min="2" max="2" width="21.25" customWidth="1"/>
    <col min="3" max="3" width="13.375" customWidth="1"/>
    <col min="4" max="4" width="13.5" customWidth="1"/>
    <col min="5" max="5" width="6.5" customWidth="1"/>
    <col min="6" max="6" width="16.5" customWidth="1"/>
    <col min="7" max="7" width="10" customWidth="1"/>
    <col min="8" max="8" width="10.5" customWidth="1"/>
    <col min="9" max="9" width="8.875" customWidth="1"/>
  </cols>
  <sheetData>
    <row r="1" spans="1:12" ht="22.5">
      <c r="A1" s="115">
        <v>46017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>
        <v>1</v>
      </c>
      <c r="F9" s="17" t="s">
        <v>75</v>
      </c>
      <c r="G9" s="37">
        <v>46003</v>
      </c>
      <c r="H9" s="37">
        <v>46017</v>
      </c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>
        <v>1</v>
      </c>
      <c r="F10" s="17" t="s">
        <v>74</v>
      </c>
      <c r="G10" s="73">
        <v>46003</v>
      </c>
      <c r="H10" s="73">
        <v>46017</v>
      </c>
      <c r="I10" s="68"/>
      <c r="J10" s="22"/>
      <c r="K10" s="23"/>
      <c r="L10" s="23"/>
    </row>
    <row r="11" spans="1:12">
      <c r="A11" s="12">
        <v>3</v>
      </c>
      <c r="B11" s="62"/>
      <c r="C11" s="70"/>
      <c r="D11" s="66"/>
      <c r="E11" s="17">
        <v>1</v>
      </c>
      <c r="F11" s="17" t="s">
        <v>75</v>
      </c>
      <c r="G11" s="73">
        <v>46003</v>
      </c>
      <c r="H11" s="73">
        <v>46017</v>
      </c>
      <c r="I11" s="68"/>
      <c r="J11" s="20"/>
      <c r="K11" s="20"/>
      <c r="L11" s="20"/>
    </row>
    <row r="12" spans="1:12">
      <c r="A12" s="12">
        <v>4</v>
      </c>
      <c r="B12" s="20"/>
      <c r="C12" s="20"/>
      <c r="D12" s="74"/>
      <c r="E12" s="17">
        <v>1</v>
      </c>
      <c r="F12" s="66" t="s">
        <v>73</v>
      </c>
      <c r="G12" s="73">
        <v>46003</v>
      </c>
      <c r="H12" s="73">
        <v>46017</v>
      </c>
      <c r="I12" s="68"/>
      <c r="J12" s="20"/>
      <c r="K12" s="20"/>
      <c r="L12" s="20"/>
    </row>
    <row r="13" spans="1:12">
      <c r="A13" s="12">
        <v>5</v>
      </c>
      <c r="B13" s="20"/>
      <c r="C13" s="20"/>
      <c r="D13" s="69"/>
      <c r="E13" s="17">
        <v>7</v>
      </c>
      <c r="F13" s="17" t="s">
        <v>73</v>
      </c>
      <c r="G13" s="73">
        <v>46003</v>
      </c>
      <c r="H13" s="73">
        <v>46017</v>
      </c>
      <c r="I13" s="68"/>
      <c r="J13" s="69"/>
      <c r="K13" s="23"/>
      <c r="L13" s="23"/>
    </row>
    <row r="14" spans="1:12">
      <c r="A14" s="12">
        <v>6</v>
      </c>
      <c r="B14" s="20"/>
      <c r="C14" s="20"/>
      <c r="D14" s="74"/>
      <c r="E14" s="17">
        <v>1</v>
      </c>
      <c r="F14" s="17" t="s">
        <v>176</v>
      </c>
      <c r="G14" s="73">
        <v>46003</v>
      </c>
      <c r="H14" s="73">
        <v>46017</v>
      </c>
      <c r="I14" s="68"/>
      <c r="J14" s="22"/>
      <c r="K14" s="23"/>
      <c r="L14" s="23"/>
    </row>
    <row r="15" spans="1:12">
      <c r="A15" s="12">
        <v>7</v>
      </c>
      <c r="B15" s="62"/>
      <c r="C15" s="70"/>
      <c r="D15" s="66"/>
      <c r="E15" s="66">
        <v>1</v>
      </c>
      <c r="F15" s="17" t="s">
        <v>182</v>
      </c>
      <c r="G15" s="73">
        <v>46003</v>
      </c>
      <c r="H15" s="73">
        <v>46017</v>
      </c>
      <c r="I15" s="68"/>
      <c r="J15" s="71"/>
      <c r="K15" s="20"/>
      <c r="L15" s="20"/>
    </row>
    <row r="16" spans="1:12">
      <c r="A16" s="12">
        <v>8</v>
      </c>
      <c r="B16" s="20"/>
      <c r="C16" s="69"/>
      <c r="D16" s="69"/>
      <c r="E16" s="66">
        <v>1</v>
      </c>
      <c r="F16" s="66" t="s">
        <v>181</v>
      </c>
      <c r="G16" s="73">
        <v>46003</v>
      </c>
      <c r="H16" s="73">
        <v>46017</v>
      </c>
      <c r="I16" s="68"/>
      <c r="J16" s="22"/>
      <c r="K16" s="23"/>
      <c r="L16" s="23"/>
    </row>
    <row r="17" spans="1:12">
      <c r="A17" s="12">
        <v>9</v>
      </c>
      <c r="B17" s="20"/>
      <c r="C17" s="69"/>
      <c r="D17" s="74"/>
      <c r="E17" s="66">
        <v>1</v>
      </c>
      <c r="F17" s="66" t="s">
        <v>182</v>
      </c>
      <c r="G17" s="73">
        <v>46003</v>
      </c>
      <c r="H17" s="73">
        <v>46017</v>
      </c>
      <c r="I17" s="68"/>
      <c r="J17" s="22"/>
      <c r="K17" s="23"/>
      <c r="L17" s="23"/>
    </row>
    <row r="18" spans="1:12">
      <c r="A18" s="12">
        <v>10</v>
      </c>
      <c r="B18" s="20"/>
      <c r="C18" s="20"/>
      <c r="D18" s="74"/>
      <c r="E18" s="65">
        <v>1</v>
      </c>
      <c r="F18" s="17" t="s">
        <v>182</v>
      </c>
      <c r="G18" s="73">
        <v>46003</v>
      </c>
      <c r="H18" s="73">
        <v>46017</v>
      </c>
      <c r="I18" s="68"/>
      <c r="J18" s="71"/>
      <c r="K18" s="20"/>
      <c r="L18" s="20"/>
    </row>
    <row r="19" spans="1:12">
      <c r="A19" s="12">
        <v>11</v>
      </c>
      <c r="B19" s="20"/>
      <c r="C19" s="20"/>
      <c r="D19" s="74"/>
      <c r="E19" s="65">
        <v>1</v>
      </c>
      <c r="F19" s="17" t="s">
        <v>182</v>
      </c>
      <c r="G19" s="73">
        <v>46003</v>
      </c>
      <c r="H19" s="73">
        <v>46017</v>
      </c>
      <c r="I19" s="68"/>
      <c r="J19" s="71"/>
      <c r="K19" s="20"/>
      <c r="L19" s="20"/>
    </row>
    <row r="20" spans="1:12">
      <c r="A20" s="12">
        <v>12</v>
      </c>
      <c r="B20" s="62"/>
      <c r="C20" s="70"/>
      <c r="D20" s="66"/>
      <c r="E20" s="65">
        <v>1</v>
      </c>
      <c r="F20" s="17" t="s">
        <v>181</v>
      </c>
      <c r="G20" s="73">
        <v>46003</v>
      </c>
      <c r="H20" s="73">
        <v>46017</v>
      </c>
      <c r="I20" s="68"/>
      <c r="J20" s="69"/>
      <c r="K20" s="23"/>
      <c r="L20" s="23"/>
    </row>
    <row r="21" spans="1:12">
      <c r="A21" s="12">
        <v>13</v>
      </c>
      <c r="B21" s="20"/>
      <c r="C21" s="20"/>
      <c r="D21" s="74"/>
      <c r="E21" s="17">
        <v>3</v>
      </c>
      <c r="F21" s="17" t="s">
        <v>182</v>
      </c>
      <c r="G21" s="73">
        <v>46003</v>
      </c>
      <c r="H21" s="73">
        <v>46017</v>
      </c>
      <c r="I21" s="68"/>
      <c r="J21" s="71"/>
      <c r="K21" s="23"/>
      <c r="L21" s="23"/>
    </row>
    <row r="22" spans="1:12">
      <c r="A22" s="12">
        <v>14</v>
      </c>
      <c r="B22" s="20"/>
      <c r="C22" s="20"/>
      <c r="D22" s="69"/>
      <c r="E22" s="17">
        <v>1</v>
      </c>
      <c r="F22" s="66" t="s">
        <v>181</v>
      </c>
      <c r="G22" s="73">
        <v>46003</v>
      </c>
      <c r="H22" s="73">
        <v>46017</v>
      </c>
      <c r="I22" s="68"/>
      <c r="J22" s="20"/>
      <c r="K22" s="20"/>
      <c r="L22" s="20"/>
    </row>
    <row r="23" spans="1:12">
      <c r="A23" s="12">
        <v>15</v>
      </c>
      <c r="B23" s="20"/>
      <c r="C23" s="20"/>
      <c r="D23" s="74"/>
      <c r="E23" s="65">
        <v>1</v>
      </c>
      <c r="F23" s="66" t="s">
        <v>182</v>
      </c>
      <c r="G23" s="73">
        <v>46003</v>
      </c>
      <c r="H23" s="73">
        <v>46017</v>
      </c>
      <c r="I23" s="68"/>
      <c r="J23" s="69"/>
      <c r="K23" s="20"/>
      <c r="L23" s="20"/>
    </row>
    <row r="24" spans="1:12">
      <c r="A24" s="12">
        <v>16</v>
      </c>
      <c r="B24" s="20"/>
      <c r="C24" s="20"/>
      <c r="D24" s="74"/>
      <c r="E24" s="66">
        <v>1</v>
      </c>
      <c r="F24" s="66" t="s">
        <v>182</v>
      </c>
      <c r="G24" s="73">
        <v>46003</v>
      </c>
      <c r="H24" s="73">
        <v>46017</v>
      </c>
      <c r="I24" s="68"/>
      <c r="J24" s="69"/>
      <c r="K24" s="23"/>
      <c r="L24" s="23"/>
    </row>
    <row r="25" spans="1:12">
      <c r="A25" s="12">
        <v>17</v>
      </c>
      <c r="B25" s="20"/>
      <c r="C25" s="20"/>
      <c r="D25" s="69"/>
      <c r="E25" s="17">
        <v>1</v>
      </c>
      <c r="F25" s="66" t="s">
        <v>182</v>
      </c>
      <c r="G25" s="73">
        <v>46003</v>
      </c>
      <c r="H25" s="73">
        <v>46017</v>
      </c>
      <c r="I25" s="68"/>
      <c r="J25" s="69"/>
      <c r="K25" s="23"/>
      <c r="L25" s="23"/>
    </row>
    <row r="26" spans="1:12">
      <c r="A26" s="12">
        <v>18</v>
      </c>
      <c r="B26" s="20"/>
      <c r="C26" s="20"/>
      <c r="D26" s="69"/>
      <c r="E26" s="17" t="s">
        <v>185</v>
      </c>
      <c r="F26" s="17" t="s">
        <v>159</v>
      </c>
      <c r="G26" s="73">
        <v>46003</v>
      </c>
      <c r="H26" s="73">
        <v>46017</v>
      </c>
      <c r="I26" s="68"/>
      <c r="J26" s="22"/>
      <c r="K26" s="23"/>
      <c r="L26" s="23"/>
    </row>
    <row r="27" spans="1:12">
      <c r="A27" s="12">
        <v>19</v>
      </c>
      <c r="B27" s="20"/>
      <c r="C27" s="20"/>
      <c r="D27" s="74"/>
      <c r="E27" s="17">
        <v>1</v>
      </c>
      <c r="F27" s="17" t="s">
        <v>182</v>
      </c>
      <c r="G27" s="73">
        <v>46003</v>
      </c>
      <c r="H27" s="73">
        <v>46017</v>
      </c>
      <c r="I27" s="68"/>
      <c r="J27" s="71"/>
      <c r="K27" s="20"/>
      <c r="L27" s="20"/>
    </row>
    <row r="28" spans="1:12">
      <c r="A28" s="12">
        <v>20</v>
      </c>
      <c r="B28" s="20"/>
      <c r="C28" s="20"/>
      <c r="D28" s="74"/>
      <c r="E28" s="17">
        <v>3</v>
      </c>
      <c r="F28" s="17" t="s">
        <v>73</v>
      </c>
      <c r="G28" s="73">
        <v>46003</v>
      </c>
      <c r="H28" s="73">
        <v>46017</v>
      </c>
      <c r="I28" s="68"/>
      <c r="J28" s="22"/>
      <c r="K28" s="23"/>
      <c r="L28" s="23"/>
    </row>
    <row r="29" spans="1:12">
      <c r="A29" s="12">
        <v>21</v>
      </c>
      <c r="B29" s="20"/>
      <c r="C29" s="20"/>
      <c r="D29" s="74"/>
      <c r="E29" s="66">
        <v>1</v>
      </c>
      <c r="F29" s="17" t="s">
        <v>73</v>
      </c>
      <c r="G29" s="73">
        <v>46003</v>
      </c>
      <c r="H29" s="73">
        <v>46017</v>
      </c>
      <c r="I29" s="68"/>
      <c r="J29" s="22"/>
      <c r="K29" s="23"/>
      <c r="L29" s="23"/>
    </row>
    <row r="30" spans="1:12">
      <c r="A30" s="12">
        <v>22</v>
      </c>
      <c r="B30" s="20"/>
      <c r="C30" s="20"/>
      <c r="D30" s="74"/>
      <c r="E30" s="17">
        <v>1</v>
      </c>
      <c r="F30" s="17" t="s">
        <v>74</v>
      </c>
      <c r="G30" s="73">
        <v>46003</v>
      </c>
      <c r="H30" s="73">
        <v>46017</v>
      </c>
      <c r="I30" s="68"/>
      <c r="J30" s="20"/>
      <c r="K30" s="20"/>
      <c r="L30" s="20"/>
    </row>
    <row r="31" spans="1:12">
      <c r="A31" s="12">
        <v>23</v>
      </c>
      <c r="B31" s="69"/>
      <c r="C31" s="69"/>
      <c r="D31" s="74"/>
      <c r="E31" s="66">
        <v>1</v>
      </c>
      <c r="F31" s="66" t="s">
        <v>183</v>
      </c>
      <c r="G31" s="73">
        <v>46003</v>
      </c>
      <c r="H31" s="73">
        <v>46017</v>
      </c>
      <c r="I31" s="68"/>
      <c r="J31" s="22"/>
      <c r="K31" s="23"/>
      <c r="L31" s="23"/>
    </row>
    <row r="32" spans="1:12">
      <c r="A32" s="12">
        <v>24</v>
      </c>
      <c r="B32" s="69"/>
      <c r="C32" s="69"/>
      <c r="D32" s="69"/>
      <c r="E32" s="66">
        <v>1</v>
      </c>
      <c r="F32" s="17" t="s">
        <v>182</v>
      </c>
      <c r="G32" s="73">
        <v>46003</v>
      </c>
      <c r="H32" s="73">
        <v>46017</v>
      </c>
      <c r="I32" s="68"/>
      <c r="J32" s="20"/>
      <c r="K32" s="20"/>
      <c r="L32" s="20"/>
    </row>
    <row r="33" spans="1:12">
      <c r="A33" s="12">
        <v>25</v>
      </c>
      <c r="B33" s="69"/>
      <c r="C33" s="69"/>
      <c r="D33" s="74"/>
      <c r="E33" s="66">
        <v>1</v>
      </c>
      <c r="F33" s="66" t="s">
        <v>182</v>
      </c>
      <c r="G33" s="73">
        <v>46003</v>
      </c>
      <c r="H33" s="73">
        <v>46017</v>
      </c>
      <c r="I33" s="68"/>
      <c r="J33" s="71"/>
      <c r="K33" s="20"/>
      <c r="L33" s="20"/>
    </row>
    <row r="34" spans="1:12">
      <c r="A34" s="12">
        <v>26</v>
      </c>
      <c r="B34" s="12"/>
      <c r="C34" s="14"/>
      <c r="D34" s="15"/>
      <c r="E34" s="16" t="s">
        <v>189</v>
      </c>
      <c r="F34" s="17" t="s">
        <v>73</v>
      </c>
      <c r="G34" s="73">
        <v>46009</v>
      </c>
      <c r="H34" s="73">
        <v>46382</v>
      </c>
      <c r="I34" s="68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73"/>
      <c r="H35" s="73"/>
      <c r="I35" s="68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73"/>
      <c r="H36" s="73"/>
      <c r="I36" s="68"/>
      <c r="J36" s="20"/>
      <c r="K36" s="20"/>
      <c r="L36" s="20"/>
    </row>
  </sheetData>
  <sortState ref="B9:J33">
    <sortCondition ref="B9"/>
  </sortState>
  <mergeCells count="5">
    <mergeCell ref="A1:L1"/>
    <mergeCell ref="A2:L2"/>
    <mergeCell ref="F3:H3"/>
    <mergeCell ref="K3:L7"/>
    <mergeCell ref="C5:E5"/>
  </mergeCells>
  <pageMargins left="0.70866141732283472" right="0.70866141732283472" top="0.74803149606299213" bottom="0.74803149606299213" header="0.31496062992125984" footer="0.31496062992125984"/>
  <pageSetup paperSize="9" scale="85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5852A050-34BE-4819-8608-538406C0F087}">
          <x14:formula1>
            <xm:f>#REF!</xm:f>
          </x14:formula1>
          <xm:sqref>C9:C36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4B2C8-2366-4FAF-BA98-FA34815F2B5D}">
  <sheetPr codeName="Sheet30"/>
  <dimension ref="A1:L258"/>
  <sheetViews>
    <sheetView topLeftCell="A25" zoomScale="98" zoomScaleNormal="45" workbookViewId="0">
      <selection activeCell="J242" sqref="J242"/>
    </sheetView>
  </sheetViews>
  <sheetFormatPr defaultRowHeight="14.25"/>
  <cols>
    <col min="1" max="1" width="4.125" customWidth="1"/>
    <col min="2" max="2" width="17.75" customWidth="1"/>
    <col min="3" max="3" width="13.375" customWidth="1"/>
    <col min="4" max="4" width="13.5" customWidth="1"/>
    <col min="5" max="5" width="6.5" customWidth="1"/>
    <col min="6" max="6" width="13.875" customWidth="1"/>
    <col min="7" max="7" width="10" customWidth="1"/>
    <col min="8" max="8" width="10.5" customWidth="1"/>
    <col min="9" max="9" width="8.875" customWidth="1"/>
  </cols>
  <sheetData>
    <row r="1" spans="1:12" ht="22.5">
      <c r="A1" s="115">
        <v>46018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120"/>
      <c r="L3" s="120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20"/>
      <c r="L4" s="120"/>
    </row>
    <row r="5" spans="1:12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120"/>
      <c r="L5" s="120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20"/>
      <c r="L6" s="120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20"/>
      <c r="L7" s="120"/>
    </row>
    <row r="8" spans="1:12" ht="6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20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E1224DC8-B060-4013-B028-37BBAE99DAC3}">
          <x14:formula1>
            <xm:f>#REF!</xm:f>
          </x14:formula1>
          <xm:sqref>C9:C100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258"/>
  <sheetViews>
    <sheetView topLeftCell="A19" zoomScale="98" zoomScaleNormal="45" workbookViewId="0">
      <selection activeCell="J242" sqref="J242"/>
    </sheetView>
  </sheetViews>
  <sheetFormatPr defaultRowHeight="14.25"/>
  <cols>
    <col min="1" max="1" width="4.125" customWidth="1"/>
    <col min="2" max="2" width="21.5" customWidth="1"/>
    <col min="3" max="3" width="10.5" customWidth="1"/>
    <col min="4" max="4" width="10.25" customWidth="1"/>
    <col min="5" max="5" width="8.5" customWidth="1"/>
    <col min="6" max="6" width="11.875" customWidth="1"/>
    <col min="7" max="7" width="10.5" customWidth="1"/>
    <col min="8" max="8" width="10.25" customWidth="1"/>
    <col min="9" max="9" width="8" customWidth="1"/>
  </cols>
  <sheetData>
    <row r="1" spans="1:12" ht="22.5">
      <c r="A1" s="115">
        <v>46019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6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14"/>
      <c r="D9" s="17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12"/>
      <c r="C10" s="14"/>
      <c r="D10" s="17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12"/>
      <c r="C11" s="20"/>
      <c r="D11" s="17"/>
      <c r="E11" s="16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20"/>
      <c r="G14" s="40"/>
      <c r="H14" s="37"/>
      <c r="I14" s="20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20"/>
      <c r="G15" s="40"/>
      <c r="H15" s="37"/>
      <c r="I15" s="20"/>
      <c r="J15" s="20"/>
      <c r="K15" s="20"/>
      <c r="L15" s="20"/>
    </row>
    <row r="16" spans="1:12">
      <c r="A16" s="12">
        <v>8</v>
      </c>
      <c r="B16" s="12"/>
      <c r="C16" s="21"/>
      <c r="D16" s="17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12"/>
      <c r="C17" s="20"/>
      <c r="D17" s="17"/>
      <c r="E17" s="16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6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6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12"/>
      <c r="C20" s="20"/>
      <c r="D20" s="17"/>
      <c r="E20" s="16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20"/>
      <c r="G21" s="40"/>
      <c r="H21" s="37"/>
      <c r="I21" s="20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12"/>
      <c r="C23" s="21"/>
      <c r="D23" s="17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12"/>
      <c r="C25" s="14"/>
      <c r="D25" s="15"/>
      <c r="E25" s="16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20"/>
      <c r="C33" s="20"/>
      <c r="D33" s="20"/>
      <c r="E33" s="17"/>
      <c r="F33" s="17"/>
      <c r="G33" s="37"/>
      <c r="H33" s="37"/>
      <c r="I33" s="19"/>
      <c r="J33" s="20"/>
      <c r="K33" s="20"/>
      <c r="L33" s="20"/>
    </row>
    <row r="34" spans="1:12">
      <c r="A34" s="12">
        <v>26</v>
      </c>
      <c r="B34" s="20"/>
      <c r="C34" s="20"/>
      <c r="D34" s="20"/>
      <c r="E34" s="17"/>
      <c r="F34" s="17"/>
      <c r="G34" s="37"/>
      <c r="H34" s="37"/>
      <c r="I34" s="19"/>
      <c r="J34" s="20"/>
      <c r="K34" s="20"/>
      <c r="L34" s="20"/>
    </row>
    <row r="35" spans="1:12">
      <c r="A35" s="12">
        <v>27</v>
      </c>
      <c r="B35" s="12"/>
      <c r="C35" s="14"/>
      <c r="D35" s="17"/>
      <c r="E35" s="17"/>
      <c r="F35" s="17"/>
      <c r="G35" s="37"/>
      <c r="H35" s="37"/>
      <c r="I35" s="19"/>
      <c r="J35" s="20"/>
      <c r="K35" s="20"/>
      <c r="L35" s="20"/>
    </row>
    <row r="36" spans="1:12">
      <c r="A36" s="12">
        <v>28</v>
      </c>
      <c r="B36" s="20"/>
      <c r="C36" s="21"/>
      <c r="D36" s="20"/>
      <c r="E36" s="16"/>
      <c r="F36" s="17"/>
      <c r="G36" s="37"/>
      <c r="H36" s="37"/>
      <c r="I36" s="19"/>
      <c r="J36" s="20"/>
      <c r="K36" s="20"/>
      <c r="L36" s="20"/>
    </row>
    <row r="37" spans="1:12">
      <c r="A37" s="12">
        <v>29</v>
      </c>
      <c r="B37" s="20"/>
      <c r="C37" s="20"/>
      <c r="D37" s="20"/>
      <c r="E37" s="17"/>
      <c r="F37" s="17"/>
      <c r="G37" s="37"/>
      <c r="H37" s="37"/>
      <c r="I37" s="19"/>
      <c r="J37" s="20"/>
      <c r="K37" s="20"/>
      <c r="L37" s="20"/>
    </row>
    <row r="38" spans="1:12">
      <c r="A38" s="12">
        <v>30</v>
      </c>
      <c r="B38" s="12"/>
      <c r="C38" s="20"/>
      <c r="D38" s="17"/>
      <c r="E38" s="16"/>
      <c r="F38" s="17"/>
      <c r="G38" s="37"/>
      <c r="H38" s="37"/>
      <c r="I38" s="19"/>
      <c r="J38" s="20"/>
      <c r="K38" s="20"/>
      <c r="L38" s="20"/>
    </row>
    <row r="39" spans="1:12">
      <c r="A39" s="12">
        <v>31</v>
      </c>
      <c r="B39" s="12"/>
      <c r="C39" s="20"/>
      <c r="D39" s="17"/>
      <c r="E39" s="16"/>
      <c r="F39" s="17"/>
      <c r="G39" s="37"/>
      <c r="H39" s="37"/>
      <c r="I39" s="19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12"/>
      <c r="C42" s="20"/>
      <c r="D42" s="17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37"/>
      <c r="H48" s="37"/>
      <c r="I48" s="19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37"/>
      <c r="H49" s="37"/>
      <c r="I49" s="19"/>
      <c r="J49" s="20"/>
      <c r="K49" s="20"/>
      <c r="L49" s="20"/>
    </row>
    <row r="50" spans="1:12">
      <c r="A50" s="12">
        <v>42</v>
      </c>
      <c r="B50" s="20"/>
      <c r="C50" s="20"/>
      <c r="D50" s="20"/>
      <c r="E50" s="17"/>
      <c r="F50" s="17"/>
      <c r="G50" s="37"/>
      <c r="H50" s="37"/>
      <c r="I50" s="19"/>
      <c r="J50" s="20"/>
      <c r="K50" s="20"/>
      <c r="L50" s="20"/>
    </row>
    <row r="51" spans="1:12">
      <c r="A51" s="12">
        <v>43</v>
      </c>
      <c r="B51" s="20"/>
      <c r="C51" s="20"/>
      <c r="D51" s="20"/>
      <c r="E51" s="17"/>
      <c r="F51" s="17"/>
      <c r="G51" s="37"/>
      <c r="H51" s="37"/>
      <c r="I51" s="19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59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ABCFBB59-7CE0-4DEF-8494-A90CD339C7C8}">
          <x14:formula1>
            <xm:f>#REF!</xm:f>
          </x14:formula1>
          <xm:sqref>C9:C100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/>
  <dimension ref="A1:L56"/>
  <sheetViews>
    <sheetView topLeftCell="A38" workbookViewId="0">
      <selection activeCell="A57" sqref="A57:XFD260"/>
    </sheetView>
  </sheetViews>
  <sheetFormatPr defaultRowHeight="14.25"/>
  <cols>
    <col min="1" max="1" width="4.125" customWidth="1"/>
    <col min="2" max="2" width="22.5" customWidth="1"/>
    <col min="3" max="3" width="10.5" customWidth="1"/>
    <col min="4" max="4" width="10.25" customWidth="1"/>
    <col min="5" max="5" width="8.5" customWidth="1"/>
    <col min="6" max="6" width="11.875" customWidth="1"/>
    <col min="7" max="7" width="10.5" customWidth="1"/>
    <col min="8" max="8" width="10.25" customWidth="1"/>
    <col min="9" max="9" width="8" customWidth="1"/>
    <col min="12" max="12" width="11.875" customWidth="1"/>
  </cols>
  <sheetData>
    <row r="1" spans="1:12" ht="22.5">
      <c r="A1" s="115">
        <v>46020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60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/>
      <c r="L8" s="36"/>
    </row>
    <row r="9" spans="1:12">
      <c r="A9" s="12">
        <v>1</v>
      </c>
      <c r="B9" s="62"/>
      <c r="C9" s="70"/>
      <c r="D9" s="74"/>
      <c r="E9" s="65">
        <v>1</v>
      </c>
      <c r="F9" s="17" t="s">
        <v>71</v>
      </c>
      <c r="G9" s="37">
        <v>46008</v>
      </c>
      <c r="H9" s="37">
        <v>46020</v>
      </c>
      <c r="I9" s="19"/>
      <c r="J9" s="22"/>
      <c r="K9" s="72"/>
      <c r="L9" s="20"/>
    </row>
    <row r="10" spans="1:12">
      <c r="A10" s="12">
        <v>2</v>
      </c>
      <c r="B10" s="69"/>
      <c r="C10" s="69"/>
      <c r="D10" s="74"/>
      <c r="E10" s="65">
        <v>1</v>
      </c>
      <c r="F10" s="17" t="s">
        <v>73</v>
      </c>
      <c r="G10" s="73">
        <v>46008</v>
      </c>
      <c r="H10" s="73">
        <v>46020</v>
      </c>
      <c r="I10" s="68"/>
      <c r="J10" s="22"/>
      <c r="K10" s="69"/>
      <c r="L10" s="23"/>
    </row>
    <row r="11" spans="1:12">
      <c r="A11" s="12">
        <v>3</v>
      </c>
      <c r="B11" s="20"/>
      <c r="C11" s="69"/>
      <c r="D11" s="74"/>
      <c r="E11" s="66">
        <v>1</v>
      </c>
      <c r="F11" s="17" t="s">
        <v>71</v>
      </c>
      <c r="G11" s="73">
        <v>46009</v>
      </c>
      <c r="H11" s="73">
        <v>46020</v>
      </c>
      <c r="I11" s="68"/>
      <c r="J11" s="69"/>
      <c r="K11" s="20"/>
      <c r="L11" s="114"/>
    </row>
    <row r="12" spans="1:12">
      <c r="A12" s="12">
        <v>4</v>
      </c>
      <c r="B12" s="69"/>
      <c r="C12" s="20"/>
      <c r="D12" s="69"/>
      <c r="E12" s="66">
        <v>4</v>
      </c>
      <c r="F12" s="69"/>
      <c r="G12" s="73">
        <v>46009</v>
      </c>
      <c r="H12" s="73">
        <v>46020</v>
      </c>
      <c r="I12" s="68"/>
      <c r="J12" s="69"/>
      <c r="K12" s="20"/>
      <c r="L12" s="114"/>
    </row>
    <row r="13" spans="1:12">
      <c r="A13" s="12">
        <v>5</v>
      </c>
      <c r="B13" s="20"/>
      <c r="C13" s="63"/>
      <c r="D13" s="74"/>
      <c r="E13" s="66">
        <v>1</v>
      </c>
      <c r="F13" s="17" t="s">
        <v>186</v>
      </c>
      <c r="G13" s="73">
        <v>46008</v>
      </c>
      <c r="H13" s="73">
        <v>46020</v>
      </c>
      <c r="I13" s="68"/>
      <c r="J13" s="22"/>
      <c r="K13" s="69"/>
      <c r="L13" s="69"/>
    </row>
    <row r="14" spans="1:12">
      <c r="A14" s="12">
        <v>6</v>
      </c>
      <c r="B14" s="69"/>
      <c r="C14" s="69"/>
      <c r="D14" s="74"/>
      <c r="E14" s="66">
        <v>1</v>
      </c>
      <c r="F14" s="17" t="s">
        <v>71</v>
      </c>
      <c r="G14" s="73">
        <v>46008</v>
      </c>
      <c r="H14" s="73">
        <v>46020</v>
      </c>
      <c r="I14" s="68"/>
      <c r="J14" s="71"/>
      <c r="K14" s="69"/>
      <c r="L14" s="114"/>
    </row>
    <row r="15" spans="1:12">
      <c r="A15" s="12">
        <v>7</v>
      </c>
      <c r="B15" s="69"/>
      <c r="C15" s="70"/>
      <c r="D15" s="74"/>
      <c r="E15" s="65">
        <v>1</v>
      </c>
      <c r="F15" s="17" t="s">
        <v>71</v>
      </c>
      <c r="G15" s="73">
        <v>46008</v>
      </c>
      <c r="H15" s="73">
        <v>46020</v>
      </c>
      <c r="I15" s="68"/>
      <c r="J15" s="22"/>
      <c r="K15" s="72"/>
      <c r="L15" s="114"/>
    </row>
    <row r="16" spans="1:12">
      <c r="A16" s="12">
        <v>8</v>
      </c>
      <c r="B16" s="69"/>
      <c r="C16" s="63"/>
      <c r="D16" s="74"/>
      <c r="E16" s="65">
        <v>1</v>
      </c>
      <c r="F16" s="17" t="s">
        <v>71</v>
      </c>
      <c r="G16" s="73">
        <v>46008</v>
      </c>
      <c r="H16" s="73">
        <v>46020</v>
      </c>
      <c r="I16" s="68"/>
      <c r="J16" s="22"/>
      <c r="K16" s="23"/>
      <c r="L16" s="114"/>
    </row>
    <row r="17" spans="1:12">
      <c r="A17" s="12">
        <v>9</v>
      </c>
      <c r="B17" s="69"/>
      <c r="C17" s="63"/>
      <c r="D17" s="74"/>
      <c r="E17" s="65">
        <v>1</v>
      </c>
      <c r="F17" s="17" t="s">
        <v>186</v>
      </c>
      <c r="G17" s="73">
        <v>46008</v>
      </c>
      <c r="H17" s="73">
        <v>46020</v>
      </c>
      <c r="I17" s="68"/>
      <c r="J17" s="22"/>
      <c r="K17" s="69"/>
      <c r="L17" s="114"/>
    </row>
    <row r="18" spans="1:12">
      <c r="A18" s="12">
        <v>10</v>
      </c>
      <c r="B18" s="20"/>
      <c r="C18" s="69"/>
      <c r="D18" s="74"/>
      <c r="E18" s="66">
        <v>1</v>
      </c>
      <c r="F18" s="17" t="s">
        <v>71</v>
      </c>
      <c r="G18" s="73">
        <v>46008</v>
      </c>
      <c r="H18" s="73">
        <v>46020</v>
      </c>
      <c r="I18" s="68"/>
      <c r="J18" s="22"/>
      <c r="K18" s="72"/>
      <c r="L18" s="114"/>
    </row>
    <row r="19" spans="1:12">
      <c r="A19" s="12">
        <v>11</v>
      </c>
      <c r="B19" s="69"/>
      <c r="C19" s="70"/>
      <c r="D19" s="74"/>
      <c r="E19" s="66">
        <v>1</v>
      </c>
      <c r="F19" s="17" t="s">
        <v>71</v>
      </c>
      <c r="G19" s="73">
        <v>46008</v>
      </c>
      <c r="H19" s="73">
        <v>46020</v>
      </c>
      <c r="I19" s="68"/>
      <c r="J19" s="71"/>
      <c r="K19" s="72"/>
      <c r="L19" s="72"/>
    </row>
    <row r="20" spans="1:12">
      <c r="A20" s="12">
        <v>12</v>
      </c>
      <c r="B20" s="69"/>
      <c r="C20" s="69"/>
      <c r="D20" s="74"/>
      <c r="E20" s="66">
        <v>1</v>
      </c>
      <c r="F20" s="17" t="s">
        <v>71</v>
      </c>
      <c r="G20" s="73">
        <v>46008</v>
      </c>
      <c r="H20" s="73">
        <v>46020</v>
      </c>
      <c r="I20" s="68"/>
      <c r="J20" s="71"/>
      <c r="K20" s="69"/>
      <c r="L20" s="114"/>
    </row>
    <row r="21" spans="1:12">
      <c r="A21" s="12">
        <v>13</v>
      </c>
      <c r="B21" s="69"/>
      <c r="C21" s="69"/>
      <c r="D21" s="74"/>
      <c r="E21" s="65">
        <v>1</v>
      </c>
      <c r="F21" s="66" t="s">
        <v>71</v>
      </c>
      <c r="G21" s="73">
        <v>46008</v>
      </c>
      <c r="H21" s="73">
        <v>46020</v>
      </c>
      <c r="I21" s="68"/>
      <c r="J21" s="69"/>
      <c r="K21" s="69"/>
      <c r="L21" s="114"/>
    </row>
    <row r="22" spans="1:12">
      <c r="A22" s="12">
        <v>14</v>
      </c>
      <c r="B22" s="69"/>
      <c r="C22" s="69"/>
      <c r="D22" s="74"/>
      <c r="E22" s="66">
        <v>1</v>
      </c>
      <c r="F22" s="66" t="s">
        <v>117</v>
      </c>
      <c r="G22" s="73">
        <v>46009</v>
      </c>
      <c r="H22" s="73">
        <v>46020</v>
      </c>
      <c r="I22" s="68"/>
      <c r="J22" s="69"/>
      <c r="K22" s="20"/>
      <c r="L22" s="69"/>
    </row>
    <row r="23" spans="1:12">
      <c r="A23" s="12">
        <v>15</v>
      </c>
      <c r="B23" s="69"/>
      <c r="C23" s="69"/>
      <c r="D23" s="66"/>
      <c r="E23" s="65">
        <v>1</v>
      </c>
      <c r="F23" s="66" t="s">
        <v>160</v>
      </c>
      <c r="G23" s="73">
        <v>46008</v>
      </c>
      <c r="H23" s="73">
        <v>46020</v>
      </c>
      <c r="I23" s="68"/>
      <c r="J23" s="69"/>
      <c r="K23" s="20"/>
      <c r="L23" s="114"/>
    </row>
    <row r="24" spans="1:12">
      <c r="A24" s="12">
        <v>16</v>
      </c>
      <c r="B24" s="69"/>
      <c r="C24" s="69"/>
      <c r="D24" s="66"/>
      <c r="E24" s="66">
        <v>2</v>
      </c>
      <c r="F24" s="66" t="s">
        <v>160</v>
      </c>
      <c r="G24" s="73">
        <v>46008</v>
      </c>
      <c r="H24" s="73">
        <v>46020</v>
      </c>
      <c r="I24" s="68"/>
      <c r="J24" s="22"/>
      <c r="K24" s="72"/>
      <c r="L24" s="114"/>
    </row>
    <row r="25" spans="1:12">
      <c r="A25" s="12">
        <v>17</v>
      </c>
      <c r="B25" s="62"/>
      <c r="C25" s="69"/>
      <c r="D25" s="66"/>
      <c r="E25" s="66">
        <v>1</v>
      </c>
      <c r="F25" s="66" t="s">
        <v>106</v>
      </c>
      <c r="G25" s="73">
        <v>46008</v>
      </c>
      <c r="H25" s="73">
        <v>46020</v>
      </c>
      <c r="I25" s="68"/>
      <c r="J25" s="71"/>
      <c r="K25" s="69"/>
      <c r="L25" s="114"/>
    </row>
    <row r="26" spans="1:12">
      <c r="A26" s="12">
        <v>18</v>
      </c>
      <c r="B26" s="69"/>
      <c r="C26" s="63"/>
      <c r="D26" s="69"/>
      <c r="E26" s="66">
        <v>1</v>
      </c>
      <c r="F26" s="66" t="s">
        <v>75</v>
      </c>
      <c r="G26" s="73">
        <v>46008</v>
      </c>
      <c r="H26" s="73">
        <v>46020</v>
      </c>
      <c r="I26" s="68"/>
      <c r="J26" s="22"/>
      <c r="K26" s="69"/>
      <c r="L26" s="69"/>
    </row>
    <row r="27" spans="1:12">
      <c r="A27" s="12">
        <v>19</v>
      </c>
      <c r="B27" s="69"/>
      <c r="C27" s="69"/>
      <c r="D27" s="74"/>
      <c r="E27" s="65">
        <v>1</v>
      </c>
      <c r="F27" s="66" t="s">
        <v>71</v>
      </c>
      <c r="G27" s="73">
        <v>46008</v>
      </c>
      <c r="H27" s="73">
        <v>46020</v>
      </c>
      <c r="I27" s="68"/>
      <c r="J27" s="22"/>
      <c r="K27" s="20"/>
      <c r="L27" s="114"/>
    </row>
    <row r="28" spans="1:12">
      <c r="A28" s="12">
        <v>20</v>
      </c>
      <c r="B28" s="69"/>
      <c r="C28" s="69"/>
      <c r="D28" s="74"/>
      <c r="E28" s="65">
        <v>1</v>
      </c>
      <c r="F28" s="66" t="s">
        <v>73</v>
      </c>
      <c r="G28" s="73">
        <v>46008</v>
      </c>
      <c r="H28" s="73">
        <v>46020</v>
      </c>
      <c r="I28" s="68"/>
      <c r="J28" s="69"/>
      <c r="K28" s="23"/>
      <c r="L28" s="23"/>
    </row>
    <row r="29" spans="1:12">
      <c r="A29" s="12">
        <v>21</v>
      </c>
      <c r="B29" s="69"/>
      <c r="C29" s="69"/>
      <c r="D29" s="74"/>
      <c r="E29" s="65">
        <v>1</v>
      </c>
      <c r="F29" s="66" t="s">
        <v>71</v>
      </c>
      <c r="G29" s="73">
        <v>46008</v>
      </c>
      <c r="H29" s="73">
        <v>46020</v>
      </c>
      <c r="I29" s="68"/>
      <c r="J29" s="22"/>
      <c r="K29" s="69"/>
      <c r="L29" s="23"/>
    </row>
    <row r="30" spans="1:12">
      <c r="A30" s="12">
        <v>22</v>
      </c>
      <c r="B30" s="69"/>
      <c r="C30" s="69"/>
      <c r="D30" s="74"/>
      <c r="E30" s="66">
        <v>1</v>
      </c>
      <c r="F30" s="66" t="s">
        <v>71</v>
      </c>
      <c r="G30" s="73">
        <v>46008</v>
      </c>
      <c r="H30" s="73">
        <v>46020</v>
      </c>
      <c r="I30" s="68"/>
      <c r="J30" s="71"/>
      <c r="K30" s="69"/>
      <c r="L30" s="20"/>
    </row>
    <row r="31" spans="1:12">
      <c r="A31" s="12">
        <v>23</v>
      </c>
      <c r="B31" s="62"/>
      <c r="C31" s="69"/>
      <c r="D31" s="66"/>
      <c r="E31" s="65">
        <v>2</v>
      </c>
      <c r="F31" s="66" t="s">
        <v>92</v>
      </c>
      <c r="G31" s="73">
        <v>46008</v>
      </c>
      <c r="H31" s="73">
        <v>46020</v>
      </c>
      <c r="I31" s="68"/>
      <c r="J31" s="22"/>
      <c r="K31" s="72"/>
      <c r="L31" s="72"/>
    </row>
    <row r="32" spans="1:12">
      <c r="A32" s="12">
        <v>24</v>
      </c>
      <c r="B32" s="69"/>
      <c r="C32" s="69"/>
      <c r="D32" s="69"/>
      <c r="E32" s="66">
        <v>1</v>
      </c>
      <c r="F32" s="66" t="s">
        <v>73</v>
      </c>
      <c r="G32" s="73">
        <v>46008</v>
      </c>
      <c r="H32" s="73">
        <v>46020</v>
      </c>
      <c r="I32" s="68"/>
      <c r="J32" s="71"/>
      <c r="K32" s="72"/>
      <c r="L32" s="72"/>
    </row>
    <row r="33" spans="1:12">
      <c r="A33" s="12">
        <v>25</v>
      </c>
      <c r="B33" s="62"/>
      <c r="C33" s="69"/>
      <c r="D33" s="74"/>
      <c r="E33" s="66">
        <v>1</v>
      </c>
      <c r="F33" s="66" t="s">
        <v>73</v>
      </c>
      <c r="G33" s="73">
        <v>46008</v>
      </c>
      <c r="H33" s="73">
        <v>46020</v>
      </c>
      <c r="I33" s="68"/>
      <c r="J33" s="22"/>
      <c r="K33" s="72"/>
      <c r="L33" s="20"/>
    </row>
    <row r="34" spans="1:12">
      <c r="A34" s="12">
        <v>26</v>
      </c>
      <c r="B34" s="69"/>
      <c r="C34" s="69"/>
      <c r="D34" s="69"/>
      <c r="E34" s="66">
        <v>1</v>
      </c>
      <c r="F34" s="66" t="s">
        <v>71</v>
      </c>
      <c r="G34" s="73">
        <v>46008</v>
      </c>
      <c r="H34" s="73">
        <v>46020</v>
      </c>
      <c r="I34" s="68"/>
      <c r="J34" s="69"/>
      <c r="K34" s="20"/>
      <c r="L34" s="69"/>
    </row>
    <row r="35" spans="1:12">
      <c r="A35" s="12">
        <v>27</v>
      </c>
      <c r="B35" s="62"/>
      <c r="C35" s="70"/>
      <c r="D35" s="74"/>
      <c r="E35" s="66">
        <v>1</v>
      </c>
      <c r="F35" s="66" t="s">
        <v>71</v>
      </c>
      <c r="G35" s="73">
        <v>46008</v>
      </c>
      <c r="H35" s="73">
        <v>46020</v>
      </c>
      <c r="I35" s="68"/>
      <c r="J35" s="22"/>
      <c r="K35" s="69"/>
      <c r="L35" s="114"/>
    </row>
    <row r="36" spans="1:12">
      <c r="A36" s="12">
        <v>28</v>
      </c>
      <c r="B36" s="62"/>
      <c r="C36" s="69"/>
      <c r="D36" s="66"/>
      <c r="E36" s="66">
        <v>1</v>
      </c>
      <c r="F36" s="66" t="s">
        <v>75</v>
      </c>
      <c r="G36" s="73">
        <v>46008</v>
      </c>
      <c r="H36" s="73">
        <v>46020</v>
      </c>
      <c r="I36" s="68"/>
      <c r="J36" s="22"/>
      <c r="K36" s="72"/>
      <c r="L36" s="20"/>
    </row>
    <row r="37" spans="1:12">
      <c r="A37" s="12">
        <v>29</v>
      </c>
      <c r="B37" s="69"/>
      <c r="C37" s="69"/>
      <c r="D37" s="69"/>
      <c r="E37" s="66" t="s">
        <v>187</v>
      </c>
      <c r="F37" s="66" t="s">
        <v>92</v>
      </c>
      <c r="G37" s="73">
        <v>46008</v>
      </c>
      <c r="H37" s="73">
        <v>46020</v>
      </c>
      <c r="I37" s="68"/>
      <c r="J37" s="22"/>
      <c r="K37" s="72"/>
      <c r="L37" s="20"/>
    </row>
    <row r="38" spans="1:12">
      <c r="A38" s="12">
        <v>30</v>
      </c>
      <c r="B38" s="69"/>
      <c r="C38" s="69"/>
      <c r="D38" s="74"/>
      <c r="E38" s="66">
        <v>1</v>
      </c>
      <c r="F38" s="66" t="s">
        <v>71</v>
      </c>
      <c r="G38" s="73">
        <v>46008</v>
      </c>
      <c r="H38" s="73">
        <v>46020</v>
      </c>
      <c r="I38" s="68"/>
      <c r="J38" s="71"/>
      <c r="K38" s="20"/>
      <c r="L38" s="114"/>
    </row>
    <row r="39" spans="1:12">
      <c r="A39" s="12">
        <v>31</v>
      </c>
      <c r="B39" s="69"/>
      <c r="C39" s="69"/>
      <c r="D39" s="74"/>
      <c r="E39" s="66">
        <v>1</v>
      </c>
      <c r="F39" s="66" t="s">
        <v>71</v>
      </c>
      <c r="G39" s="73">
        <v>46008</v>
      </c>
      <c r="H39" s="73">
        <v>46020</v>
      </c>
      <c r="I39" s="68"/>
      <c r="J39" s="22"/>
      <c r="K39" s="72"/>
      <c r="L39" s="114"/>
    </row>
    <row r="40" spans="1:12">
      <c r="A40" s="12">
        <v>32</v>
      </c>
      <c r="B40" s="62"/>
      <c r="C40" s="69"/>
      <c r="D40" s="66"/>
      <c r="E40" s="65">
        <v>1</v>
      </c>
      <c r="F40" s="66" t="s">
        <v>75</v>
      </c>
      <c r="G40" s="73">
        <v>46008</v>
      </c>
      <c r="H40" s="73">
        <v>46020</v>
      </c>
      <c r="I40" s="68"/>
      <c r="J40" s="71"/>
      <c r="K40" s="20"/>
      <c r="L40" s="20"/>
    </row>
    <row r="41" spans="1:12">
      <c r="A41" s="12">
        <v>33</v>
      </c>
      <c r="B41" s="113"/>
      <c r="C41" s="63"/>
      <c r="D41" s="69"/>
      <c r="E41" s="65">
        <v>1</v>
      </c>
      <c r="F41" s="66" t="s">
        <v>71</v>
      </c>
      <c r="G41" s="73">
        <v>46008</v>
      </c>
      <c r="H41" s="73">
        <v>46020</v>
      </c>
      <c r="I41" s="68"/>
      <c r="J41" s="22"/>
      <c r="K41" s="20"/>
      <c r="L41" s="20"/>
    </row>
    <row r="42" spans="1:12">
      <c r="A42" s="12">
        <v>34</v>
      </c>
      <c r="B42" s="69"/>
      <c r="C42" s="63"/>
      <c r="D42" s="74"/>
      <c r="E42" s="66">
        <v>1</v>
      </c>
      <c r="F42" s="66" t="s">
        <v>73</v>
      </c>
      <c r="G42" s="73">
        <v>46008</v>
      </c>
      <c r="H42" s="73">
        <v>46020</v>
      </c>
      <c r="I42" s="68"/>
      <c r="J42" s="69"/>
      <c r="K42" s="20"/>
      <c r="L42" s="69"/>
    </row>
    <row r="43" spans="1:12">
      <c r="A43" s="12">
        <v>35</v>
      </c>
      <c r="B43" s="69"/>
      <c r="C43" s="69"/>
      <c r="D43" s="74"/>
      <c r="E43" s="65">
        <v>1</v>
      </c>
      <c r="F43" s="66" t="s">
        <v>71</v>
      </c>
      <c r="G43" s="73">
        <v>46008</v>
      </c>
      <c r="H43" s="73">
        <v>46020</v>
      </c>
      <c r="I43" s="68"/>
      <c r="J43" s="22"/>
      <c r="K43" s="20"/>
      <c r="L43" s="114"/>
    </row>
    <row r="44" spans="1:12">
      <c r="A44" s="12">
        <v>36</v>
      </c>
      <c r="B44" s="62"/>
      <c r="C44" s="70"/>
      <c r="D44" s="74"/>
      <c r="E44" s="66">
        <v>1</v>
      </c>
      <c r="F44" s="66" t="s">
        <v>71</v>
      </c>
      <c r="G44" s="73">
        <v>46008</v>
      </c>
      <c r="H44" s="73">
        <v>46020</v>
      </c>
      <c r="I44" s="68"/>
      <c r="J44" s="69"/>
      <c r="K44" s="20"/>
      <c r="L44" s="20"/>
    </row>
    <row r="45" spans="1:12">
      <c r="A45" s="12">
        <v>37</v>
      </c>
      <c r="B45" s="69"/>
      <c r="C45" s="69"/>
      <c r="D45" s="69"/>
      <c r="E45" s="66">
        <v>1</v>
      </c>
      <c r="F45" s="66" t="s">
        <v>73</v>
      </c>
      <c r="G45" s="73">
        <v>46009</v>
      </c>
      <c r="H45" s="73">
        <v>46020</v>
      </c>
      <c r="I45" s="68"/>
      <c r="J45" s="22"/>
      <c r="K45" s="20"/>
      <c r="L45" s="69"/>
    </row>
    <row r="46" spans="1:12">
      <c r="A46" s="12">
        <v>38</v>
      </c>
      <c r="B46" s="69"/>
      <c r="C46" s="69"/>
      <c r="D46" s="74"/>
      <c r="E46" s="66">
        <v>1</v>
      </c>
      <c r="F46" s="66" t="s">
        <v>71</v>
      </c>
      <c r="G46" s="73">
        <v>46008</v>
      </c>
      <c r="H46" s="73">
        <v>46020</v>
      </c>
      <c r="I46" s="68"/>
      <c r="J46" s="22"/>
      <c r="K46" s="20"/>
      <c r="L46" s="114"/>
    </row>
    <row r="47" spans="1:12">
      <c r="A47" s="12">
        <v>39</v>
      </c>
      <c r="B47" s="69"/>
      <c r="C47" s="69"/>
      <c r="D47" s="69"/>
      <c r="E47" s="66">
        <v>1</v>
      </c>
      <c r="F47" s="66" t="s">
        <v>75</v>
      </c>
      <c r="G47" s="73">
        <v>46008</v>
      </c>
      <c r="H47" s="73">
        <v>46020</v>
      </c>
      <c r="I47" s="68"/>
      <c r="J47" s="22"/>
      <c r="K47" s="20"/>
      <c r="L47" s="20"/>
    </row>
    <row r="48" spans="1:12">
      <c r="A48" s="12">
        <v>40</v>
      </c>
      <c r="B48" s="69"/>
      <c r="C48" s="69"/>
      <c r="D48" s="69"/>
      <c r="E48" s="66">
        <v>1</v>
      </c>
      <c r="F48" s="66" t="s">
        <v>75</v>
      </c>
      <c r="G48" s="73">
        <v>46008</v>
      </c>
      <c r="H48" s="73">
        <v>46020</v>
      </c>
      <c r="I48" s="68"/>
      <c r="J48" s="71"/>
      <c r="K48" s="20"/>
      <c r="L48" s="20"/>
    </row>
    <row r="49" spans="1:12">
      <c r="A49" s="12">
        <v>41</v>
      </c>
      <c r="B49" s="62"/>
      <c r="C49" s="70"/>
      <c r="D49" s="74"/>
      <c r="E49" s="65">
        <v>1</v>
      </c>
      <c r="F49" s="66" t="s">
        <v>71</v>
      </c>
      <c r="G49" s="73">
        <v>46008</v>
      </c>
      <c r="H49" s="73">
        <v>46020</v>
      </c>
      <c r="I49" s="68"/>
      <c r="J49" s="71"/>
      <c r="K49" s="20"/>
      <c r="L49" s="114"/>
    </row>
    <row r="50" spans="1:12">
      <c r="A50" s="12">
        <v>42</v>
      </c>
      <c r="B50" s="62"/>
      <c r="C50" s="69"/>
      <c r="D50" s="74"/>
      <c r="E50" s="65">
        <v>1</v>
      </c>
      <c r="F50" s="66" t="s">
        <v>73</v>
      </c>
      <c r="G50" s="73">
        <v>46008</v>
      </c>
      <c r="H50" s="73">
        <v>46020</v>
      </c>
      <c r="I50" s="68"/>
      <c r="J50" s="71"/>
      <c r="K50" s="20"/>
      <c r="L50" s="69"/>
    </row>
    <row r="51" spans="1:12">
      <c r="A51" s="12">
        <v>43</v>
      </c>
      <c r="B51" s="62"/>
      <c r="C51" s="63"/>
      <c r="D51" s="69"/>
      <c r="E51" s="66">
        <v>1</v>
      </c>
      <c r="F51" s="66" t="s">
        <v>173</v>
      </c>
      <c r="G51" s="73">
        <v>46008</v>
      </c>
      <c r="H51" s="73">
        <v>46020</v>
      </c>
      <c r="I51" s="68"/>
      <c r="J51" s="71"/>
      <c r="K51" s="20"/>
      <c r="L51" s="20"/>
    </row>
    <row r="52" spans="1:12">
      <c r="A52" s="12">
        <v>44</v>
      </c>
      <c r="B52" s="69"/>
      <c r="C52" s="69"/>
      <c r="D52" s="69"/>
      <c r="E52" s="66"/>
      <c r="F52" s="66"/>
      <c r="G52" s="73">
        <v>46008</v>
      </c>
      <c r="H52" s="73">
        <v>46020</v>
      </c>
      <c r="I52" s="68"/>
      <c r="J52" s="20"/>
      <c r="K52" s="20"/>
      <c r="L52" s="20"/>
    </row>
    <row r="53" spans="1:12">
      <c r="A53" s="12">
        <v>45</v>
      </c>
      <c r="B53" s="20"/>
      <c r="C53" s="20"/>
      <c r="D53" s="69"/>
      <c r="E53" s="66">
        <v>1</v>
      </c>
      <c r="F53" s="66" t="s">
        <v>75</v>
      </c>
      <c r="G53" s="73">
        <v>46008</v>
      </c>
      <c r="H53" s="73">
        <v>46020</v>
      </c>
      <c r="I53" s="68"/>
      <c r="J53" s="20"/>
      <c r="K53" s="20"/>
      <c r="L53" s="69"/>
    </row>
    <row r="54" spans="1:12">
      <c r="A54" s="12">
        <v>46</v>
      </c>
      <c r="B54" s="69"/>
      <c r="C54" s="69"/>
      <c r="D54" s="74"/>
      <c r="E54" s="66">
        <v>2</v>
      </c>
      <c r="F54" s="66" t="s">
        <v>92</v>
      </c>
      <c r="G54" s="73">
        <v>46008</v>
      </c>
      <c r="H54" s="73">
        <v>46020</v>
      </c>
      <c r="I54" s="68"/>
      <c r="J54" s="20"/>
      <c r="K54" s="20"/>
      <c r="L54" s="114"/>
    </row>
    <row r="55" spans="1:12">
      <c r="A55" s="12">
        <v>47</v>
      </c>
      <c r="B55" s="20"/>
      <c r="C55" s="20"/>
      <c r="D55" s="20"/>
      <c r="E55" s="20"/>
      <c r="F55" s="20"/>
      <c r="G55" s="73"/>
      <c r="H55" s="73"/>
      <c r="I55" s="68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73"/>
      <c r="H56" s="73"/>
      <c r="I56" s="68"/>
      <c r="J56" s="20"/>
      <c r="K56" s="20"/>
      <c r="L56" s="20"/>
    </row>
  </sheetData>
  <sortState ref="B9:L54">
    <sortCondition ref="B9:B54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8D09FC9E-2E54-429A-BDC6-3676170699C3}">
          <x14:formula1>
            <xm:f>#REF!</xm:f>
          </x14:formula1>
          <xm:sqref>C9:C56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2"/>
  <dimension ref="A1:L258"/>
  <sheetViews>
    <sheetView workbookViewId="0">
      <selection activeCell="P17" sqref="P17"/>
    </sheetView>
  </sheetViews>
  <sheetFormatPr defaultRowHeight="14.25"/>
  <cols>
    <col min="1" max="1" width="4.125" customWidth="1"/>
    <col min="2" max="2" width="21.5" customWidth="1"/>
    <col min="3" max="3" width="10.5" customWidth="1"/>
    <col min="4" max="4" width="10.25" customWidth="1"/>
    <col min="5" max="5" width="8.5" customWidth="1"/>
    <col min="6" max="6" width="11.875" customWidth="1"/>
    <col min="7" max="7" width="10.5" customWidth="1"/>
    <col min="8" max="8" width="10.25" customWidth="1"/>
    <col min="9" max="9" width="8" customWidth="1"/>
  </cols>
  <sheetData>
    <row r="1" spans="1:12" ht="22.5">
      <c r="A1" s="115">
        <v>46021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6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5"/>
      <c r="E9" s="17"/>
      <c r="F9" s="17"/>
      <c r="G9" s="37"/>
      <c r="H9" s="37"/>
      <c r="I9" s="19"/>
      <c r="J9" s="22"/>
      <c r="K9" s="20"/>
      <c r="L9" s="20"/>
    </row>
    <row r="10" spans="1:12">
      <c r="A10" s="12">
        <v>2</v>
      </c>
      <c r="B10" s="12"/>
      <c r="C10" s="21"/>
      <c r="D10" s="15"/>
      <c r="E10" s="17"/>
      <c r="F10" s="17"/>
      <c r="G10" s="37"/>
      <c r="H10" s="37"/>
      <c r="I10" s="19"/>
      <c r="J10" s="20"/>
      <c r="K10" s="23"/>
      <c r="L10" s="23"/>
    </row>
    <row r="11" spans="1:12">
      <c r="A11" s="12">
        <v>3</v>
      </c>
      <c r="B11" s="12"/>
      <c r="C11" s="21"/>
      <c r="D11" s="15"/>
      <c r="E11" s="17"/>
      <c r="F11" s="17"/>
      <c r="G11" s="37"/>
      <c r="H11" s="37"/>
      <c r="I11" s="19"/>
      <c r="J11" s="22"/>
      <c r="K11" s="20"/>
      <c r="L11" s="20"/>
    </row>
    <row r="12" spans="1:12">
      <c r="A12" s="12">
        <v>4</v>
      </c>
      <c r="B12" s="12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1"/>
      <c r="D13" s="20"/>
      <c r="E13" s="17"/>
      <c r="F13" s="17"/>
      <c r="G13" s="37"/>
      <c r="H13" s="37"/>
      <c r="I13" s="19"/>
      <c r="J13" s="20"/>
      <c r="K13" s="23"/>
      <c r="L13" s="23"/>
    </row>
    <row r="14" spans="1:12">
      <c r="A14" s="12">
        <v>6</v>
      </c>
      <c r="B14" s="12"/>
      <c r="C14" s="21"/>
      <c r="D14" s="39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1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1"/>
      <c r="D16" s="17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12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1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2"/>
      <c r="K22" s="20"/>
      <c r="L22" s="20"/>
    </row>
    <row r="23" spans="1:12">
      <c r="A23" s="12">
        <v>15</v>
      </c>
      <c r="B23" s="12"/>
      <c r="C23" s="20"/>
      <c r="D23" s="17"/>
      <c r="E23" s="17"/>
      <c r="F23" s="17"/>
      <c r="G23" s="37"/>
      <c r="H23" s="37"/>
      <c r="I23" s="19"/>
      <c r="J23" s="22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1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1"/>
      <c r="D27" s="20"/>
      <c r="E27" s="17"/>
      <c r="F27" s="17"/>
      <c r="G27" s="37"/>
      <c r="H27" s="37"/>
      <c r="I27" s="19"/>
      <c r="J27" s="22"/>
      <c r="K27" s="20"/>
      <c r="L27" s="20"/>
    </row>
    <row r="28" spans="1:12">
      <c r="A28" s="12">
        <v>20</v>
      </c>
      <c r="B28" s="20"/>
      <c r="C28" s="21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1"/>
      <c r="D30" s="20"/>
      <c r="E30" s="17"/>
      <c r="F30" s="17"/>
      <c r="G30" s="37"/>
      <c r="H30" s="37"/>
      <c r="I30" s="19"/>
      <c r="J30" s="22"/>
      <c r="K30" s="20"/>
      <c r="L30" s="20"/>
    </row>
    <row r="31" spans="1:12">
      <c r="A31" s="12">
        <v>23</v>
      </c>
      <c r="B31" s="20"/>
      <c r="C31" s="21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1"/>
      <c r="D32" s="20"/>
      <c r="E32" s="17"/>
      <c r="F32" s="17"/>
      <c r="G32" s="37"/>
      <c r="H32" s="37"/>
      <c r="I32" s="19"/>
      <c r="J32" s="22"/>
      <c r="K32" s="20"/>
      <c r="L32" s="20"/>
    </row>
    <row r="33" spans="1:12">
      <c r="A33" s="12">
        <v>25</v>
      </c>
      <c r="B33" s="20"/>
      <c r="C33" s="21"/>
      <c r="D33" s="20"/>
      <c r="E33" s="17"/>
      <c r="F33" s="17"/>
      <c r="G33" s="37"/>
      <c r="H33" s="37"/>
      <c r="I33" s="19"/>
      <c r="J33" s="22"/>
      <c r="K33" s="20"/>
      <c r="L33" s="20"/>
    </row>
    <row r="34" spans="1:12">
      <c r="A34" s="12">
        <v>26</v>
      </c>
      <c r="B34" s="12"/>
      <c r="C34" s="21"/>
      <c r="D34" s="17"/>
      <c r="E34" s="17"/>
      <c r="F34" s="17"/>
      <c r="G34" s="37"/>
      <c r="H34" s="37"/>
      <c r="I34" s="19"/>
      <c r="J34" s="22"/>
      <c r="K34" s="20"/>
      <c r="L34" s="20"/>
    </row>
    <row r="35" spans="1:12">
      <c r="A35" s="12">
        <v>27</v>
      </c>
      <c r="B35" s="20"/>
      <c r="C35" s="20"/>
      <c r="D35" s="20"/>
      <c r="E35" s="17"/>
      <c r="F35" s="17"/>
      <c r="G35" s="37"/>
      <c r="H35" s="37"/>
      <c r="I35" s="19"/>
      <c r="J35" s="22"/>
      <c r="K35" s="20"/>
      <c r="L35" s="20"/>
    </row>
    <row r="36" spans="1:12">
      <c r="A36" s="12">
        <v>28</v>
      </c>
      <c r="B36" s="20"/>
      <c r="C36" s="20"/>
      <c r="D36" s="20"/>
      <c r="E36" s="17"/>
      <c r="F36" s="17"/>
      <c r="G36" s="37"/>
      <c r="H36" s="37"/>
      <c r="I36" s="19"/>
      <c r="J36" s="22"/>
      <c r="K36" s="20"/>
      <c r="L36" s="20"/>
    </row>
    <row r="37" spans="1:12">
      <c r="A37" s="12">
        <v>29</v>
      </c>
      <c r="B37" s="12"/>
      <c r="C37" s="21"/>
      <c r="D37" s="17"/>
      <c r="E37" s="17"/>
      <c r="F37" s="17"/>
      <c r="G37" s="37"/>
      <c r="H37" s="37"/>
      <c r="I37" s="19"/>
      <c r="J37" s="22"/>
      <c r="K37" s="20"/>
      <c r="L37" s="20"/>
    </row>
    <row r="38" spans="1:12">
      <c r="A38" s="12">
        <v>30</v>
      </c>
      <c r="B38" s="12"/>
      <c r="C38" s="20"/>
      <c r="D38" s="17"/>
      <c r="E38" s="17"/>
      <c r="F38" s="17"/>
      <c r="G38" s="37"/>
      <c r="H38" s="37"/>
      <c r="I38" s="19"/>
      <c r="J38" s="22"/>
      <c r="K38" s="20"/>
      <c r="L38" s="20"/>
    </row>
    <row r="39" spans="1:12">
      <c r="A39" s="12">
        <v>31</v>
      </c>
      <c r="B39" s="12"/>
      <c r="C39" s="14"/>
      <c r="D39" s="39"/>
      <c r="E39" s="17"/>
      <c r="F39" s="17"/>
      <c r="G39" s="37"/>
      <c r="H39" s="37"/>
      <c r="I39" s="19"/>
      <c r="J39" s="22"/>
      <c r="K39" s="20"/>
      <c r="L39" s="20"/>
    </row>
    <row r="40" spans="1:12">
      <c r="A40" s="12">
        <v>32</v>
      </c>
      <c r="B40" s="12"/>
      <c r="C40" s="14"/>
      <c r="D40" s="17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12"/>
      <c r="C41" s="14"/>
      <c r="D41" s="17"/>
      <c r="E41" s="16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20"/>
      <c r="C42" s="14"/>
      <c r="D42" s="20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59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F5D2E84C-E108-41EF-9867-34928ABA42B4}">
          <x14:formula1>
            <xm:f>#REF!</xm:f>
          </x14:formula1>
          <xm:sqref>C9:C100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422EF-26D3-4891-831C-07E86EFAE590}">
  <sheetPr codeName="Sheet33"/>
  <dimension ref="A1:L258"/>
  <sheetViews>
    <sheetView tabSelected="1" workbookViewId="0">
      <selection activeCell="G20" sqref="G20"/>
    </sheetView>
  </sheetViews>
  <sheetFormatPr defaultRowHeight="14.25"/>
  <cols>
    <col min="1" max="1" width="4.125" customWidth="1"/>
    <col min="2" max="2" width="21.5" customWidth="1"/>
    <col min="3" max="3" width="10.5" customWidth="1"/>
    <col min="4" max="4" width="10.25" customWidth="1"/>
    <col min="5" max="5" width="8.5" customWidth="1"/>
    <col min="6" max="6" width="11.875" customWidth="1"/>
    <col min="7" max="7" width="10.5" customWidth="1"/>
    <col min="8" max="8" width="10.25" customWidth="1"/>
    <col min="9" max="9" width="8" customWidth="1"/>
  </cols>
  <sheetData>
    <row r="1" spans="1:12" ht="22.5">
      <c r="A1" s="115">
        <v>46022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</row>
    <row r="2" spans="1:12">
      <c r="A2" s="116" t="s">
        <v>0</v>
      </c>
      <c r="B2" s="116"/>
      <c r="C2" s="116"/>
      <c r="D2" s="117"/>
      <c r="E2" s="117"/>
      <c r="F2" s="117"/>
      <c r="G2" s="117"/>
      <c r="H2" s="117"/>
      <c r="I2" s="117"/>
      <c r="J2" s="117"/>
      <c r="K2" s="117"/>
      <c r="L2" s="117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118" t="s">
        <v>4</v>
      </c>
      <c r="G3" s="118"/>
      <c r="H3" s="118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119" t="s">
        <v>11</v>
      </c>
      <c r="D5" s="119"/>
      <c r="E5" s="119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60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57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5"/>
      <c r="E9" s="17"/>
      <c r="F9" s="17"/>
      <c r="G9" s="37"/>
      <c r="H9" s="37"/>
      <c r="I9" s="19"/>
      <c r="J9" s="22"/>
      <c r="K9" s="20"/>
      <c r="L9" s="20"/>
    </row>
    <row r="10" spans="1:12">
      <c r="A10" s="12">
        <v>2</v>
      </c>
      <c r="B10" s="12"/>
      <c r="C10" s="21"/>
      <c r="D10" s="15"/>
      <c r="E10" s="17"/>
      <c r="F10" s="17"/>
      <c r="G10" s="37"/>
      <c r="H10" s="37"/>
      <c r="I10" s="19"/>
      <c r="J10" s="20"/>
      <c r="K10" s="23"/>
      <c r="L10" s="23"/>
    </row>
    <row r="11" spans="1:12">
      <c r="A11" s="12">
        <v>3</v>
      </c>
      <c r="B11" s="12"/>
      <c r="C11" s="21"/>
      <c r="D11" s="15"/>
      <c r="E11" s="17"/>
      <c r="F11" s="17"/>
      <c r="G11" s="37"/>
      <c r="H11" s="37"/>
      <c r="I11" s="19"/>
      <c r="J11" s="22"/>
      <c r="K11" s="20"/>
      <c r="L11" s="20"/>
    </row>
    <row r="12" spans="1:12">
      <c r="A12" s="12">
        <v>4</v>
      </c>
      <c r="B12" s="12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1"/>
      <c r="D13" s="20"/>
      <c r="E13" s="17"/>
      <c r="F13" s="17"/>
      <c r="G13" s="37"/>
      <c r="H13" s="37"/>
      <c r="I13" s="19"/>
      <c r="J13" s="20"/>
      <c r="K13" s="23"/>
      <c r="L13" s="23"/>
    </row>
    <row r="14" spans="1:12">
      <c r="A14" s="12">
        <v>6</v>
      </c>
      <c r="B14" s="12"/>
      <c r="C14" s="21"/>
      <c r="D14" s="39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1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1"/>
      <c r="D16" s="17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12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1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2"/>
      <c r="K22" s="20"/>
      <c r="L22" s="20"/>
    </row>
    <row r="23" spans="1:12">
      <c r="A23" s="12">
        <v>15</v>
      </c>
      <c r="B23" s="12"/>
      <c r="C23" s="20"/>
      <c r="D23" s="17"/>
      <c r="E23" s="17"/>
      <c r="F23" s="17"/>
      <c r="G23" s="37"/>
      <c r="H23" s="37"/>
      <c r="I23" s="19"/>
      <c r="J23" s="22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1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1"/>
      <c r="D27" s="20"/>
      <c r="E27" s="17"/>
      <c r="F27" s="17"/>
      <c r="G27" s="37"/>
      <c r="H27" s="37"/>
      <c r="I27" s="19"/>
      <c r="J27" s="22"/>
      <c r="K27" s="20"/>
      <c r="L27" s="20"/>
    </row>
    <row r="28" spans="1:12">
      <c r="A28" s="12">
        <v>20</v>
      </c>
      <c r="B28" s="20"/>
      <c r="C28" s="21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1"/>
      <c r="D30" s="20"/>
      <c r="E30" s="17"/>
      <c r="F30" s="17"/>
      <c r="G30" s="37"/>
      <c r="H30" s="37"/>
      <c r="I30" s="19"/>
      <c r="J30" s="22"/>
      <c r="K30" s="20"/>
      <c r="L30" s="20"/>
    </row>
    <row r="31" spans="1:12">
      <c r="A31" s="12">
        <v>23</v>
      </c>
      <c r="B31" s="20"/>
      <c r="C31" s="21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1"/>
      <c r="D32" s="20"/>
      <c r="E32" s="17"/>
      <c r="F32" s="17"/>
      <c r="G32" s="37"/>
      <c r="H32" s="37"/>
      <c r="I32" s="19"/>
      <c r="J32" s="22"/>
      <c r="K32" s="20"/>
      <c r="L32" s="20"/>
    </row>
    <row r="33" spans="1:12">
      <c r="A33" s="12">
        <v>25</v>
      </c>
      <c r="B33" s="20"/>
      <c r="C33" s="21"/>
      <c r="D33" s="20"/>
      <c r="E33" s="17"/>
      <c r="F33" s="17"/>
      <c r="G33" s="37"/>
      <c r="H33" s="37"/>
      <c r="I33" s="19"/>
      <c r="J33" s="22"/>
      <c r="K33" s="20"/>
      <c r="L33" s="20"/>
    </row>
    <row r="34" spans="1:12">
      <c r="A34" s="12">
        <v>26</v>
      </c>
      <c r="B34" s="12"/>
      <c r="C34" s="21"/>
      <c r="D34" s="17"/>
      <c r="E34" s="17"/>
      <c r="F34" s="17"/>
      <c r="G34" s="37"/>
      <c r="H34" s="37"/>
      <c r="I34" s="19"/>
      <c r="J34" s="22"/>
      <c r="K34" s="20"/>
      <c r="L34" s="20"/>
    </row>
    <row r="35" spans="1:12">
      <c r="A35" s="12">
        <v>27</v>
      </c>
      <c r="B35" s="20"/>
      <c r="C35" s="20"/>
      <c r="D35" s="20"/>
      <c r="E35" s="17"/>
      <c r="F35" s="17"/>
      <c r="G35" s="37"/>
      <c r="H35" s="37"/>
      <c r="I35" s="19"/>
      <c r="J35" s="22"/>
      <c r="K35" s="20"/>
      <c r="L35" s="20"/>
    </row>
    <row r="36" spans="1:12">
      <c r="A36" s="12">
        <v>28</v>
      </c>
      <c r="B36" s="20"/>
      <c r="C36" s="20"/>
      <c r="D36" s="20"/>
      <c r="E36" s="17"/>
      <c r="F36" s="17"/>
      <c r="G36" s="37"/>
      <c r="H36" s="37"/>
      <c r="I36" s="19"/>
      <c r="J36" s="22"/>
      <c r="K36" s="20"/>
      <c r="L36" s="20"/>
    </row>
    <row r="37" spans="1:12">
      <c r="A37" s="12">
        <v>29</v>
      </c>
      <c r="B37" s="12"/>
      <c r="C37" s="21"/>
      <c r="D37" s="17"/>
      <c r="E37" s="17"/>
      <c r="F37" s="17"/>
      <c r="G37" s="37"/>
      <c r="H37" s="37"/>
      <c r="I37" s="19"/>
      <c r="J37" s="22"/>
      <c r="K37" s="20"/>
      <c r="L37" s="20"/>
    </row>
    <row r="38" spans="1:12">
      <c r="A38" s="12">
        <v>30</v>
      </c>
      <c r="B38" s="12"/>
      <c r="C38" s="20"/>
      <c r="D38" s="17"/>
      <c r="E38" s="17"/>
      <c r="F38" s="17"/>
      <c r="G38" s="37"/>
      <c r="H38" s="37"/>
      <c r="I38" s="19"/>
      <c r="J38" s="22"/>
      <c r="K38" s="20"/>
      <c r="L38" s="20"/>
    </row>
    <row r="39" spans="1:12">
      <c r="A39" s="12">
        <v>31</v>
      </c>
      <c r="B39" s="12"/>
      <c r="C39" s="14"/>
      <c r="D39" s="39"/>
      <c r="E39" s="17"/>
      <c r="F39" s="17"/>
      <c r="G39" s="37"/>
      <c r="H39" s="37"/>
      <c r="I39" s="19"/>
      <c r="J39" s="22"/>
      <c r="K39" s="20"/>
      <c r="L39" s="20"/>
    </row>
    <row r="40" spans="1:12">
      <c r="A40" s="12">
        <v>32</v>
      </c>
      <c r="B40" s="12"/>
      <c r="C40" s="14"/>
      <c r="D40" s="17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12"/>
      <c r="C41" s="14"/>
      <c r="D41" s="17"/>
      <c r="E41" s="16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20"/>
      <c r="C42" s="14"/>
      <c r="D42" s="20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 ht="15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 ht="15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 ht="15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 ht="15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 ht="15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 ht="15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 ht="15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 ht="15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 ht="15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 ht="15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 ht="15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52</v>
      </c>
      <c r="C246" s="20" t="s">
        <v>53</v>
      </c>
      <c r="D246" s="20" t="s">
        <v>54</v>
      </c>
      <c r="E246" s="20" t="s">
        <v>55</v>
      </c>
      <c r="F246" s="20" t="s">
        <v>56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2A39CEEB-5A84-44A7-B42B-79FAF3B4A62B}">
          <x14:formula1>
            <xm:f>#REF!</xm:f>
          </x14:formula1>
          <xm:sqref>C9:C100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December 1</vt:lpstr>
      <vt:lpstr>December 2</vt:lpstr>
      <vt:lpstr>December 3</vt:lpstr>
      <vt:lpstr>December 4</vt:lpstr>
      <vt:lpstr>December 5</vt:lpstr>
      <vt:lpstr>Saturday</vt:lpstr>
      <vt:lpstr>Sunday</vt:lpstr>
      <vt:lpstr>December 8-Holiday</vt:lpstr>
      <vt:lpstr>December 9</vt:lpstr>
      <vt:lpstr>December 10</vt:lpstr>
      <vt:lpstr>December 11</vt:lpstr>
      <vt:lpstr>December 12</vt:lpstr>
      <vt:lpstr>Saturday-2</vt:lpstr>
      <vt:lpstr>Sunday-2</vt:lpstr>
      <vt:lpstr>Party</vt:lpstr>
      <vt:lpstr>Party-2</vt:lpstr>
      <vt:lpstr>December 17</vt:lpstr>
      <vt:lpstr>December 18</vt:lpstr>
      <vt:lpstr>December 19</vt:lpstr>
      <vt:lpstr>December 22</vt:lpstr>
      <vt:lpstr>December 23</vt:lpstr>
      <vt:lpstr>December 24</vt:lpstr>
      <vt:lpstr>December 25</vt:lpstr>
      <vt:lpstr>December 26</vt:lpstr>
      <vt:lpstr>December 27</vt:lpstr>
      <vt:lpstr>December 28</vt:lpstr>
      <vt:lpstr>December 29</vt:lpstr>
      <vt:lpstr>December 30</vt:lpstr>
      <vt:lpstr>December 31</vt:lpstr>
      <vt:lpstr>'December 26'!Print_Area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Nhed Ardy Salas</dc:creator>
  <cp:lastModifiedBy>Darlene</cp:lastModifiedBy>
  <cp:lastPrinted>2026-01-21T08:41:47Z</cp:lastPrinted>
  <dcterms:created xsi:type="dcterms:W3CDTF">2025-02-27T00:16:39Z</dcterms:created>
  <dcterms:modified xsi:type="dcterms:W3CDTF">2026-05-25T08:50:19Z</dcterms:modified>
</cp:coreProperties>
</file>