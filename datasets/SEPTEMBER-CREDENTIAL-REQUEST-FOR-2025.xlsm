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isms\Desktop\"/>
    </mc:Choice>
  </mc:AlternateContent>
  <bookViews>
    <workbookView xWindow="0" yWindow="0" windowWidth="23040" windowHeight="9576" tabRatio="720" activeTab="4"/>
  </bookViews>
  <sheets>
    <sheet name="September 1" sheetId="64" r:id="rId1"/>
    <sheet name="September 2" sheetId="55" r:id="rId2"/>
    <sheet name="September 3" sheetId="54" r:id="rId3"/>
    <sheet name="September 4" sheetId="53" r:id="rId4"/>
    <sheet name="September 5" sheetId="65" r:id="rId5"/>
    <sheet name="September 6" sheetId="66" r:id="rId6"/>
    <sheet name="September 7" sheetId="63" r:id="rId7"/>
    <sheet name="September 8" sheetId="49" r:id="rId8"/>
    <sheet name="September 9" sheetId="67" r:id="rId9"/>
    <sheet name="September 10" sheetId="48" r:id="rId10"/>
    <sheet name="September 11" sheetId="1" r:id="rId11"/>
    <sheet name="September 12" sheetId="68" r:id="rId12"/>
    <sheet name="September 13" sheetId="69" r:id="rId13"/>
    <sheet name="September 14" sheetId="6" r:id="rId14"/>
    <sheet name="September 15" sheetId="7" r:id="rId15"/>
    <sheet name="September 16" sheetId="50" r:id="rId16"/>
    <sheet name="September 17" sheetId="77" r:id="rId17"/>
    <sheet name="September 18" sheetId="71" r:id="rId18"/>
    <sheet name="September 19" sheetId="72" r:id="rId19"/>
    <sheet name="September 20" sheetId="73" r:id="rId20"/>
    <sheet name="September 21" sheetId="51" r:id="rId21"/>
    <sheet name="September 22" sheetId="13" r:id="rId22"/>
    <sheet name="September 23" sheetId="17" r:id="rId23"/>
    <sheet name="September 24" sheetId="18" r:id="rId24"/>
    <sheet name="September 25" sheetId="19" r:id="rId25"/>
    <sheet name="September 26" sheetId="74" r:id="rId26"/>
    <sheet name="September 27" sheetId="75" r:id="rId27"/>
    <sheet name="September 28" sheetId="22" r:id="rId28"/>
    <sheet name="September 29" sheetId="57" r:id="rId29"/>
    <sheet name="September 30" sheetId="58" r:id="rId30"/>
    <sheet name="September 31" sheetId="76" r:id="rId31"/>
  </sheets>
  <definedNames>
    <definedName name="_xleta.SUBSTITUTE" hidden="1" xlm="1">#NAME?</definedName>
    <definedName name="_xleta.SUM" hidden="1" xlm="1">#NAME?</definedName>
    <definedName name="_xlpm.x" hidden="1" xlm="1">#NAME?</definedName>
    <definedName name="Courses">#REF!</definedName>
    <definedName name="_xlnm.Print_Area" localSheetId="4">'September 5'!$A$1:$L$47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P61" i="49" l="1"/>
  <c r="F247" i="54" l="1" a="1"/>
  <c r="F247" i="54" s="1"/>
  <c r="E247" i="54" a="1"/>
  <c r="E247" i="54" s="1"/>
  <c r="D247" i="54" a="1"/>
  <c r="D247" i="54" s="1"/>
  <c r="C247" i="54" a="1"/>
  <c r="C247" i="54" s="1"/>
  <c r="B247" i="54" a="1"/>
  <c r="B247" i="54" s="1"/>
  <c r="F247" i="66" a="1"/>
  <c r="F247" i="66" s="1"/>
  <c r="E247" i="66" a="1"/>
  <c r="E247" i="66" s="1"/>
  <c r="D247" i="66" a="1"/>
  <c r="D247" i="66" s="1"/>
  <c r="C247" i="66" a="1"/>
  <c r="C247" i="66" s="1"/>
  <c r="B247" i="66" a="1"/>
  <c r="B247" i="66" s="1"/>
  <c r="F247" i="63" a="1"/>
  <c r="F247" i="63" s="1"/>
  <c r="E247" i="63"/>
  <c r="E247" i="63" a="1"/>
  <c r="D247" i="63" a="1"/>
  <c r="D247" i="63" s="1"/>
  <c r="C247" i="63" a="1"/>
  <c r="C247" i="63" s="1"/>
  <c r="B247" i="63" a="1"/>
  <c r="B247" i="63" s="1"/>
  <c r="F247" i="69" a="1"/>
  <c r="F247" i="69" s="1"/>
  <c r="E247" i="69" a="1"/>
  <c r="E247" i="69" s="1"/>
  <c r="D247" i="69" a="1"/>
  <c r="D247" i="69" s="1"/>
  <c r="C247" i="69"/>
  <c r="C247" i="69" a="1"/>
  <c r="B247" i="69" a="1"/>
  <c r="B247" i="69" s="1"/>
  <c r="F247" i="6" a="1"/>
  <c r="F247" i="6" s="1"/>
  <c r="E247" i="6" a="1"/>
  <c r="E247" i="6" s="1"/>
  <c r="D247" i="6" a="1"/>
  <c r="D247" i="6" s="1"/>
  <c r="C247" i="6" a="1"/>
  <c r="C247" i="6" s="1"/>
  <c r="B247" i="6" a="1"/>
  <c r="B247" i="6" s="1"/>
  <c r="F247" i="73"/>
  <c r="F247" i="73" a="1"/>
  <c r="E247" i="73" a="1"/>
  <c r="E247" i="73" s="1"/>
  <c r="D247" i="73" a="1"/>
  <c r="D247" i="73" s="1"/>
  <c r="C247" i="73" a="1"/>
  <c r="C247" i="73" s="1"/>
  <c r="B247" i="73" a="1"/>
  <c r="B247" i="73" s="1"/>
  <c r="F247" i="51" a="1"/>
  <c r="F247" i="51" s="1"/>
  <c r="E247" i="51" a="1"/>
  <c r="E247" i="51" s="1"/>
  <c r="D247" i="51" a="1"/>
  <c r="D247" i="51" s="1"/>
  <c r="C247" i="51"/>
  <c r="C247" i="51" a="1"/>
  <c r="B247" i="51" a="1"/>
  <c r="B247" i="51" s="1"/>
  <c r="F247" i="75" a="1"/>
  <c r="F247" i="75" s="1"/>
  <c r="E247" i="75" a="1"/>
  <c r="E247" i="75" s="1"/>
  <c r="D247" i="75" a="1"/>
  <c r="D247" i="75" s="1"/>
  <c r="C247" i="75" a="1"/>
  <c r="C247" i="75" s="1"/>
  <c r="B247" i="75" a="1"/>
  <c r="B247" i="75" s="1"/>
  <c r="F247" i="22"/>
  <c r="F247" i="22" a="1"/>
  <c r="E247" i="22" a="1"/>
  <c r="E247" i="22" s="1"/>
  <c r="D247" i="22" a="1"/>
  <c r="D247" i="22" s="1"/>
  <c r="C247" i="22" a="1"/>
  <c r="C247" i="22" s="1"/>
  <c r="B247" i="22" a="1"/>
  <c r="B247" i="22" s="1"/>
  <c r="F247" i="76" a="1"/>
  <c r="F247" i="76" s="1"/>
  <c r="E247" i="76" a="1"/>
  <c r="E247" i="76" s="1"/>
  <c r="D247" i="76" a="1"/>
  <c r="D247" i="76" s="1"/>
  <c r="C247" i="76" a="1"/>
  <c r="C247" i="76" s="1"/>
  <c r="B247" i="76" a="1"/>
  <c r="B247" i="76" s="1"/>
  <c r="C242" i="76" a="1"/>
  <c r="C242" i="76" s="1"/>
  <c r="C241" i="76" a="1"/>
  <c r="C241" i="76" s="1"/>
  <c r="C240" i="76" a="1"/>
  <c r="C240" i="76" s="1"/>
  <c r="C239" i="76" a="1"/>
  <c r="C239" i="76" s="1"/>
  <c r="C238" i="76" a="1"/>
  <c r="C238" i="76" s="1"/>
  <c r="C237" i="76" a="1"/>
  <c r="C237" i="76" s="1"/>
  <c r="C236" i="76" a="1"/>
  <c r="C236" i="76" s="1"/>
  <c r="C235" i="76" a="1"/>
  <c r="C235" i="76" s="1"/>
  <c r="C234" i="76" a="1"/>
  <c r="C234" i="76" s="1"/>
  <c r="G231" i="76" a="1"/>
  <c r="G231" i="76" s="1"/>
  <c r="C231" i="76" a="1"/>
  <c r="C231" i="76" s="1"/>
  <c r="G230" i="76" a="1"/>
  <c r="G230" i="76" s="1"/>
  <c r="C230" i="76" a="1"/>
  <c r="C230" i="76" s="1"/>
  <c r="G229" i="76" a="1"/>
  <c r="G229" i="76" s="1"/>
  <c r="C229" i="76" a="1"/>
  <c r="C229" i="76" s="1"/>
  <c r="G228" i="76" a="1"/>
  <c r="G228" i="76" s="1"/>
  <c r="C228" i="76" a="1"/>
  <c r="C228" i="76" s="1"/>
  <c r="G227" i="76" a="1"/>
  <c r="G227" i="76" s="1"/>
  <c r="C227" i="76"/>
  <c r="C227" i="76" a="1"/>
  <c r="G226" i="76" a="1"/>
  <c r="G226" i="76" s="1"/>
  <c r="C226" i="76" a="1"/>
  <c r="C226" i="76" s="1"/>
  <c r="G225" i="76" a="1"/>
  <c r="G225" i="76" s="1"/>
  <c r="C225" i="76"/>
  <c r="C225" i="76" a="1"/>
  <c r="G224" i="76" a="1"/>
  <c r="G224" i="76" s="1"/>
  <c r="C224" i="76"/>
  <c r="C224" i="76" a="1"/>
  <c r="G223" i="76" a="1"/>
  <c r="G223" i="76" s="1"/>
  <c r="C223" i="76" a="1"/>
  <c r="C223" i="76" s="1"/>
  <c r="G220" i="76" a="1"/>
  <c r="G220" i="76" s="1"/>
  <c r="C220" i="76" a="1"/>
  <c r="C220" i="76" s="1"/>
  <c r="G219" i="76"/>
  <c r="G219" i="76" a="1"/>
  <c r="C219" i="76" a="1"/>
  <c r="C219" i="76" s="1"/>
  <c r="G218" i="76" a="1"/>
  <c r="G218" i="76" s="1"/>
  <c r="C218" i="76" a="1"/>
  <c r="C218" i="76" s="1"/>
  <c r="G217" i="76" a="1"/>
  <c r="G217" i="76" s="1"/>
  <c r="C217" i="76" a="1"/>
  <c r="C217" i="76" s="1"/>
  <c r="G216" i="76" a="1"/>
  <c r="G216" i="76" s="1"/>
  <c r="C216" i="76" a="1"/>
  <c r="C216" i="76" s="1"/>
  <c r="G215" i="76" a="1"/>
  <c r="G215" i="76" s="1"/>
  <c r="C215" i="76" a="1"/>
  <c r="C215" i="76" s="1"/>
  <c r="G214" i="76" a="1"/>
  <c r="G214" i="76" s="1"/>
  <c r="C214" i="76" a="1"/>
  <c r="C214" i="76" s="1"/>
  <c r="G213" i="76" a="1"/>
  <c r="G213" i="76" s="1"/>
  <c r="C213" i="76" a="1"/>
  <c r="C213" i="76" s="1"/>
  <c r="G212" i="76" a="1"/>
  <c r="G212" i="76" s="1"/>
  <c r="C212" i="76" a="1"/>
  <c r="C212" i="76" s="1"/>
  <c r="G209" i="76" a="1"/>
  <c r="G209" i="76" s="1"/>
  <c r="C209" i="76"/>
  <c r="C209" i="76" a="1"/>
  <c r="G208" i="76" a="1"/>
  <c r="G208" i="76" s="1"/>
  <c r="C208" i="76" a="1"/>
  <c r="C208" i="76" s="1"/>
  <c r="G207" i="76" a="1"/>
  <c r="G207" i="76" s="1"/>
  <c r="C207" i="76" a="1"/>
  <c r="C207" i="76" s="1"/>
  <c r="G206" i="76" a="1"/>
  <c r="G206" i="76" s="1"/>
  <c r="C206" i="76" a="1"/>
  <c r="C206" i="76" s="1"/>
  <c r="G205" i="76" a="1"/>
  <c r="G205" i="76" s="1"/>
  <c r="C205" i="76" a="1"/>
  <c r="C205" i="76" s="1"/>
  <c r="G204" i="76" a="1"/>
  <c r="G204" i="76" s="1"/>
  <c r="C204" i="76"/>
  <c r="C204" i="76" a="1"/>
  <c r="G203" i="76" a="1"/>
  <c r="G203" i="76" s="1"/>
  <c r="C203" i="76" a="1"/>
  <c r="C203" i="76" s="1"/>
  <c r="G202" i="76" a="1"/>
  <c r="G202" i="76" s="1"/>
  <c r="C202" i="76" a="1"/>
  <c r="C202" i="76" s="1"/>
  <c r="G201" i="76" a="1"/>
  <c r="G201" i="76" s="1"/>
  <c r="C201" i="76" a="1"/>
  <c r="C201" i="76" s="1"/>
  <c r="G198" i="76" a="1"/>
  <c r="G198" i="76" s="1"/>
  <c r="C198" i="76" a="1"/>
  <c r="C198" i="76" s="1"/>
  <c r="G197" i="76" a="1"/>
  <c r="G197" i="76" s="1"/>
  <c r="C197" i="76" a="1"/>
  <c r="C197" i="76" s="1"/>
  <c r="G196" i="76" a="1"/>
  <c r="G196" i="76" s="1"/>
  <c r="C196" i="76" a="1"/>
  <c r="C196" i="76" s="1"/>
  <c r="G195" i="76"/>
  <c r="G195" i="76" a="1"/>
  <c r="C195" i="76" a="1"/>
  <c r="C195" i="76" s="1"/>
  <c r="G194" i="76"/>
  <c r="G194" i="76" a="1"/>
  <c r="C194" i="76" a="1"/>
  <c r="C194" i="76" s="1"/>
  <c r="G193" i="76" a="1"/>
  <c r="G193" i="76" s="1"/>
  <c r="C193" i="76" a="1"/>
  <c r="C193" i="76" s="1"/>
  <c r="G192" i="76"/>
  <c r="G192" i="76" a="1"/>
  <c r="C192" i="76" a="1"/>
  <c r="C192" i="76" s="1"/>
  <c r="G191" i="76" a="1"/>
  <c r="G191" i="76" s="1"/>
  <c r="C191" i="76" a="1"/>
  <c r="C191" i="76" s="1"/>
  <c r="G190" i="76"/>
  <c r="G190" i="76" a="1"/>
  <c r="C190" i="76" a="1"/>
  <c r="C190" i="76" s="1"/>
  <c r="G187" i="76" a="1"/>
  <c r="G187" i="76" s="1"/>
  <c r="C187" i="76" a="1"/>
  <c r="C187" i="76" s="1"/>
  <c r="G186" i="76" a="1"/>
  <c r="G186" i="76" s="1"/>
  <c r="C186" i="76" a="1"/>
  <c r="C186" i="76" s="1"/>
  <c r="G185" i="76" a="1"/>
  <c r="G185" i="76" s="1"/>
  <c r="C185" i="76"/>
  <c r="C185" i="76" a="1"/>
  <c r="G184" i="76" a="1"/>
  <c r="G184" i="76" s="1"/>
  <c r="C184" i="76" a="1"/>
  <c r="C184" i="76" s="1"/>
  <c r="G183" i="76" a="1"/>
  <c r="G183" i="76" s="1"/>
  <c r="C183" i="76"/>
  <c r="C183" i="76" a="1"/>
  <c r="G182" i="76" a="1"/>
  <c r="G182" i="76" s="1"/>
  <c r="C182" i="76" a="1"/>
  <c r="C182" i="76" s="1"/>
  <c r="G181" i="76" a="1"/>
  <c r="G181" i="76" s="1"/>
  <c r="C181" i="76" a="1"/>
  <c r="C181" i="76" s="1"/>
  <c r="G180" i="76" a="1"/>
  <c r="G180" i="76" s="1"/>
  <c r="C180" i="76" a="1"/>
  <c r="C180" i="76" s="1"/>
  <c r="G179" i="76" a="1"/>
  <c r="G179" i="76" s="1"/>
  <c r="C179" i="76" a="1"/>
  <c r="C179" i="76" s="1"/>
  <c r="G176" i="76"/>
  <c r="G176" i="76" a="1"/>
  <c r="C176" i="76" a="1"/>
  <c r="C176" i="76" s="1"/>
  <c r="G175" i="76"/>
  <c r="G175" i="76" a="1"/>
  <c r="C175" i="76" a="1"/>
  <c r="C175" i="76" s="1"/>
  <c r="G174" i="76" a="1"/>
  <c r="G174" i="76" s="1"/>
  <c r="C174" i="76" a="1"/>
  <c r="C174" i="76" s="1"/>
  <c r="G173" i="76"/>
  <c r="G173" i="76" a="1"/>
  <c r="C173" i="76" a="1"/>
  <c r="C173" i="76" s="1"/>
  <c r="G172" i="76" a="1"/>
  <c r="G172" i="76" s="1"/>
  <c r="C172" i="76" a="1"/>
  <c r="C172" i="76" s="1"/>
  <c r="G171" i="76"/>
  <c r="G171" i="76" a="1"/>
  <c r="C171" i="76" a="1"/>
  <c r="C171" i="76" s="1"/>
  <c r="G170" i="76" a="1"/>
  <c r="G170" i="76" s="1"/>
  <c r="C170" i="76" a="1"/>
  <c r="C170" i="76" s="1"/>
  <c r="G169" i="76"/>
  <c r="G169" i="76" a="1"/>
  <c r="C169" i="76" a="1"/>
  <c r="C169" i="76" s="1"/>
  <c r="G168" i="76"/>
  <c r="G168" i="76" a="1"/>
  <c r="C168" i="76" a="1"/>
  <c r="C168" i="76" s="1"/>
  <c r="G165" i="76" a="1"/>
  <c r="G165" i="76" s="1"/>
  <c r="C165" i="76" a="1"/>
  <c r="C165" i="76" s="1"/>
  <c r="G164" i="76" a="1"/>
  <c r="G164" i="76" s="1"/>
  <c r="C164" i="76"/>
  <c r="C164" i="76" a="1"/>
  <c r="G163" i="76" a="1"/>
  <c r="G163" i="76" s="1"/>
  <c r="C163" i="76" a="1"/>
  <c r="C163" i="76" s="1"/>
  <c r="G162" i="76" a="1"/>
  <c r="G162" i="76" s="1"/>
  <c r="C162" i="76"/>
  <c r="C162" i="76" a="1"/>
  <c r="G161" i="76" a="1"/>
  <c r="G161" i="76" s="1"/>
  <c r="C161" i="76" a="1"/>
  <c r="C161" i="76" s="1"/>
  <c r="G160" i="76" a="1"/>
  <c r="G160" i="76" s="1"/>
  <c r="C160" i="76"/>
  <c r="C160" i="76" a="1"/>
  <c r="G159" i="76" a="1"/>
  <c r="G159" i="76" s="1"/>
  <c r="C159" i="76" a="1"/>
  <c r="C159" i="76" s="1"/>
  <c r="G158" i="76" a="1"/>
  <c r="G158" i="76" s="1"/>
  <c r="C158" i="76"/>
  <c r="C158" i="76" a="1"/>
  <c r="G157" i="76" a="1"/>
  <c r="G157" i="76" s="1"/>
  <c r="C157" i="76" a="1"/>
  <c r="C157" i="76" s="1"/>
  <c r="G154" i="76"/>
  <c r="G154" i="76" a="1"/>
  <c r="C154" i="76" a="1"/>
  <c r="C154" i="76" s="1"/>
  <c r="G153" i="76" a="1"/>
  <c r="G153" i="76" s="1"/>
  <c r="C153" i="76" a="1"/>
  <c r="C153" i="76" s="1"/>
  <c r="G152" i="76"/>
  <c r="G152" i="76" a="1"/>
  <c r="C152" i="76" a="1"/>
  <c r="C152" i="76" s="1"/>
  <c r="G151" i="76" a="1"/>
  <c r="G151" i="76" s="1"/>
  <c r="C151" i="76" a="1"/>
  <c r="C151" i="76" s="1"/>
  <c r="G150" i="76"/>
  <c r="G150" i="76" a="1"/>
  <c r="C150" i="76" a="1"/>
  <c r="C150" i="76" s="1"/>
  <c r="G149" i="76" a="1"/>
  <c r="G149" i="76" s="1"/>
  <c r="C149" i="76" a="1"/>
  <c r="C149" i="76" s="1"/>
  <c r="G148" i="76"/>
  <c r="G148" i="76" a="1"/>
  <c r="C148" i="76" a="1"/>
  <c r="C148" i="76" s="1"/>
  <c r="G147" i="76" a="1"/>
  <c r="G147" i="76" s="1"/>
  <c r="C147" i="76" a="1"/>
  <c r="C147" i="76" s="1"/>
  <c r="G146" i="76" a="1"/>
  <c r="G146" i="76" s="1"/>
  <c r="C146" i="76" a="1"/>
  <c r="C146" i="76" s="1"/>
  <c r="G143" i="76" a="1"/>
  <c r="G143" i="76" s="1"/>
  <c r="C143" i="76" a="1"/>
  <c r="C143" i="76" s="1"/>
  <c r="G142" i="76" a="1"/>
  <c r="G142" i="76" s="1"/>
  <c r="C142" i="76" a="1"/>
  <c r="C142" i="76" s="1"/>
  <c r="G141" i="76" a="1"/>
  <c r="G141" i="76" s="1"/>
  <c r="C141" i="76"/>
  <c r="C141" i="76" a="1"/>
  <c r="G140" i="76" a="1"/>
  <c r="G140" i="76" s="1"/>
  <c r="C140" i="76" a="1"/>
  <c r="C140" i="76" s="1"/>
  <c r="G139" i="76" a="1"/>
  <c r="G139" i="76" s="1"/>
  <c r="C139" i="76" a="1"/>
  <c r="C139" i="76" s="1"/>
  <c r="G138" i="76" a="1"/>
  <c r="G138" i="76" s="1"/>
  <c r="C138" i="76" a="1"/>
  <c r="C138" i="76" s="1"/>
  <c r="G137" i="76" a="1"/>
  <c r="G137" i="76" s="1"/>
  <c r="C137" i="76" a="1"/>
  <c r="C137" i="76" s="1"/>
  <c r="G136" i="76" a="1"/>
  <c r="G136" i="76" s="1"/>
  <c r="C136" i="76" a="1"/>
  <c r="C136" i="76" s="1"/>
  <c r="G135" i="76" a="1"/>
  <c r="G135" i="76" s="1"/>
  <c r="C135" i="76" a="1"/>
  <c r="C135" i="76" s="1"/>
  <c r="C133" i="76" a="1"/>
  <c r="C133" i="76" s="1"/>
  <c r="G132" i="76" a="1"/>
  <c r="G132" i="76" s="1"/>
  <c r="C132" i="76" a="1"/>
  <c r="C132" i="76" s="1"/>
  <c r="G131" i="76" a="1"/>
  <c r="G131" i="76" s="1"/>
  <c r="C131" i="76" a="1"/>
  <c r="C131" i="76" s="1"/>
  <c r="G130" i="76" a="1"/>
  <c r="G130" i="76" s="1"/>
  <c r="C130" i="76" a="1"/>
  <c r="C130" i="76" s="1"/>
  <c r="G129" i="76" a="1"/>
  <c r="G129" i="76" s="1"/>
  <c r="C129" i="76" a="1"/>
  <c r="C129" i="76" s="1"/>
  <c r="G128" i="76" a="1"/>
  <c r="G128" i="76" s="1"/>
  <c r="C128" i="76" a="1"/>
  <c r="C128" i="76" s="1"/>
  <c r="G127" i="76" a="1"/>
  <c r="G127" i="76" s="1"/>
  <c r="C127" i="76" a="1"/>
  <c r="C127" i="76" s="1"/>
  <c r="G126" i="76" a="1"/>
  <c r="G126" i="76" s="1"/>
  <c r="C126" i="76" a="1"/>
  <c r="C126" i="76" s="1"/>
  <c r="G125" i="76" a="1"/>
  <c r="G125" i="76" s="1"/>
  <c r="C125" i="76" a="1"/>
  <c r="C125" i="76" s="1"/>
  <c r="G124" i="76" a="1"/>
  <c r="G124" i="76" s="1"/>
  <c r="C124" i="76" a="1"/>
  <c r="C124" i="76" s="1"/>
  <c r="C242" i="75"/>
  <c r="C242" i="75" a="1"/>
  <c r="C241" i="75" a="1"/>
  <c r="C241" i="75" s="1"/>
  <c r="C240" i="75"/>
  <c r="C240" i="75" a="1"/>
  <c r="C239" i="75" a="1"/>
  <c r="C239" i="75" s="1"/>
  <c r="C238" i="75"/>
  <c r="C238" i="75" a="1"/>
  <c r="C237" i="75" a="1"/>
  <c r="C237" i="75" s="1"/>
  <c r="C236" i="75"/>
  <c r="C236" i="75" a="1"/>
  <c r="C235" i="75" a="1"/>
  <c r="C235" i="75" s="1"/>
  <c r="C243" i="75" s="1"/>
  <c r="C234" i="75"/>
  <c r="C234" i="75" a="1"/>
  <c r="G231" i="75"/>
  <c r="G231" i="75" a="1"/>
  <c r="C231" i="75"/>
  <c r="C231" i="75" a="1"/>
  <c r="G230" i="75"/>
  <c r="G230" i="75" a="1"/>
  <c r="C230" i="75"/>
  <c r="C230" i="75" a="1"/>
  <c r="G229" i="75"/>
  <c r="G229" i="75" a="1"/>
  <c r="C229" i="75"/>
  <c r="C229" i="75" a="1"/>
  <c r="G228" i="75"/>
  <c r="G228" i="75" a="1"/>
  <c r="C228" i="75"/>
  <c r="C228" i="75" a="1"/>
  <c r="G227" i="75" a="1"/>
  <c r="G227" i="75" s="1"/>
  <c r="C227" i="75" a="1"/>
  <c r="C227" i="75" s="1"/>
  <c r="G226" i="75" a="1"/>
  <c r="G226" i="75" s="1"/>
  <c r="C226" i="75" a="1"/>
  <c r="C226" i="75" s="1"/>
  <c r="G225" i="75" a="1"/>
  <c r="G225" i="75" s="1"/>
  <c r="G232" i="75" s="1"/>
  <c r="C225" i="75"/>
  <c r="C225" i="75" a="1"/>
  <c r="G224" i="75" a="1"/>
  <c r="G224" i="75" s="1"/>
  <c r="C224" i="75"/>
  <c r="C224" i="75" a="1"/>
  <c r="G223" i="75" a="1"/>
  <c r="G223" i="75" s="1"/>
  <c r="C223" i="75" a="1"/>
  <c r="C223" i="75" s="1"/>
  <c r="C232" i="75" s="1"/>
  <c r="G220" i="75" a="1"/>
  <c r="G220" i="75" s="1"/>
  <c r="C220" i="75" a="1"/>
  <c r="C220" i="75" s="1"/>
  <c r="G219" i="75"/>
  <c r="G219" i="75" a="1"/>
  <c r="C219" i="75" a="1"/>
  <c r="C219" i="75" s="1"/>
  <c r="G218" i="75"/>
  <c r="G218" i="75" a="1"/>
  <c r="C218" i="75" a="1"/>
  <c r="C218" i="75" s="1"/>
  <c r="G217" i="75" a="1"/>
  <c r="G217" i="75" s="1"/>
  <c r="C217" i="75" a="1"/>
  <c r="C217" i="75" s="1"/>
  <c r="G216" i="75" a="1"/>
  <c r="G216" i="75" s="1"/>
  <c r="C216" i="75" a="1"/>
  <c r="C216" i="75" s="1"/>
  <c r="G215" i="75"/>
  <c r="G215" i="75" a="1"/>
  <c r="C215" i="75" a="1"/>
  <c r="C215" i="75" s="1"/>
  <c r="G214" i="75"/>
  <c r="G214" i="75" a="1"/>
  <c r="C214" i="75" a="1"/>
  <c r="C214" i="75" s="1"/>
  <c r="G213" i="75" a="1"/>
  <c r="G213" i="75" s="1"/>
  <c r="C213" i="75" a="1"/>
  <c r="C213" i="75" s="1"/>
  <c r="G212" i="75" a="1"/>
  <c r="G212" i="75" s="1"/>
  <c r="G221" i="75" s="1"/>
  <c r="C212" i="75" a="1"/>
  <c r="C212" i="75" s="1"/>
  <c r="C221" i="75" s="1"/>
  <c r="G209" i="75" a="1"/>
  <c r="G209" i="75" s="1"/>
  <c r="C209" i="75"/>
  <c r="C209" i="75" a="1"/>
  <c r="G208" i="75" a="1"/>
  <c r="G208" i="75" s="1"/>
  <c r="C208" i="75" a="1"/>
  <c r="C208" i="75" s="1"/>
  <c r="G207" i="75" a="1"/>
  <c r="G207" i="75" s="1"/>
  <c r="C207" i="75" a="1"/>
  <c r="C207" i="75" s="1"/>
  <c r="G206" i="75" a="1"/>
  <c r="G206" i="75" s="1"/>
  <c r="C206" i="75"/>
  <c r="C206" i="75" a="1"/>
  <c r="G205" i="75" a="1"/>
  <c r="G205" i="75" s="1"/>
  <c r="C205" i="75"/>
  <c r="C205" i="75" a="1"/>
  <c r="G204" i="75" a="1"/>
  <c r="G204" i="75" s="1"/>
  <c r="C204" i="75" a="1"/>
  <c r="C204" i="75" s="1"/>
  <c r="G203" i="75" a="1"/>
  <c r="G203" i="75" s="1"/>
  <c r="C203" i="75" a="1"/>
  <c r="C203" i="75" s="1"/>
  <c r="G202" i="75" a="1"/>
  <c r="G202" i="75" s="1"/>
  <c r="C202" i="75"/>
  <c r="C202" i="75" a="1"/>
  <c r="G201" i="75" a="1"/>
  <c r="G201" i="75" s="1"/>
  <c r="G210" i="75" s="1"/>
  <c r="C201" i="75"/>
  <c r="C201" i="75" a="1"/>
  <c r="G198" i="75" a="1"/>
  <c r="G198" i="75" s="1"/>
  <c r="C198" i="75" a="1"/>
  <c r="C198" i="75" s="1"/>
  <c r="G197" i="75" a="1"/>
  <c r="G197" i="75" s="1"/>
  <c r="C197" i="75" a="1"/>
  <c r="C197" i="75" s="1"/>
  <c r="G196" i="75"/>
  <c r="G196" i="75" a="1"/>
  <c r="C196" i="75" a="1"/>
  <c r="C196" i="75" s="1"/>
  <c r="G195" i="75"/>
  <c r="G195" i="75" a="1"/>
  <c r="C195" i="75" a="1"/>
  <c r="C195" i="75" s="1"/>
  <c r="G194" i="75" a="1"/>
  <c r="G194" i="75" s="1"/>
  <c r="C194" i="75" a="1"/>
  <c r="C194" i="75" s="1"/>
  <c r="G193" i="75" a="1"/>
  <c r="G193" i="75" s="1"/>
  <c r="C193" i="75" a="1"/>
  <c r="C193" i="75" s="1"/>
  <c r="G192" i="75"/>
  <c r="G192" i="75" a="1"/>
  <c r="C192" i="75" a="1"/>
  <c r="C192" i="75" s="1"/>
  <c r="G191" i="75"/>
  <c r="G191" i="75" a="1"/>
  <c r="C191" i="75" a="1"/>
  <c r="C191" i="75" s="1"/>
  <c r="G190" i="75" a="1"/>
  <c r="G190" i="75" s="1"/>
  <c r="C190" i="75" a="1"/>
  <c r="C190" i="75" s="1"/>
  <c r="C199" i="75" s="1"/>
  <c r="G187" i="75" a="1"/>
  <c r="G187" i="75" s="1"/>
  <c r="C187" i="75"/>
  <c r="C187" i="75" a="1"/>
  <c r="G186" i="75" a="1"/>
  <c r="G186" i="75" s="1"/>
  <c r="C186" i="75"/>
  <c r="C186" i="75" a="1"/>
  <c r="G185" i="75" a="1"/>
  <c r="G185" i="75" s="1"/>
  <c r="C185" i="75" a="1"/>
  <c r="C185" i="75" s="1"/>
  <c r="G184" i="75" a="1"/>
  <c r="G184" i="75" s="1"/>
  <c r="C184" i="75" a="1"/>
  <c r="C184" i="75" s="1"/>
  <c r="G183" i="75" a="1"/>
  <c r="G183" i="75" s="1"/>
  <c r="C183" i="75"/>
  <c r="C183" i="75" a="1"/>
  <c r="G182" i="75" a="1"/>
  <c r="G182" i="75" s="1"/>
  <c r="C182" i="75"/>
  <c r="C182" i="75" a="1"/>
  <c r="G181" i="75" a="1"/>
  <c r="G181" i="75" s="1"/>
  <c r="C181" i="75" a="1"/>
  <c r="C181" i="75" s="1"/>
  <c r="G180" i="75" a="1"/>
  <c r="G180" i="75" s="1"/>
  <c r="C180" i="75" a="1"/>
  <c r="C180" i="75" s="1"/>
  <c r="G179" i="75" a="1"/>
  <c r="G179" i="75" s="1"/>
  <c r="G188" i="75" s="1"/>
  <c r="C179" i="75"/>
  <c r="C179" i="75" a="1"/>
  <c r="G176" i="75"/>
  <c r="G176" i="75" a="1"/>
  <c r="C176" i="75" a="1"/>
  <c r="C176" i="75" s="1"/>
  <c r="G175" i="75" a="1"/>
  <c r="G175" i="75" s="1"/>
  <c r="C175" i="75" a="1"/>
  <c r="C175" i="75" s="1"/>
  <c r="G174" i="75" a="1"/>
  <c r="G174" i="75" s="1"/>
  <c r="C174" i="75" a="1"/>
  <c r="C174" i="75" s="1"/>
  <c r="G173" i="75"/>
  <c r="G173" i="75" a="1"/>
  <c r="C173" i="75" a="1"/>
  <c r="C173" i="75" s="1"/>
  <c r="G172" i="75"/>
  <c r="G172" i="75" a="1"/>
  <c r="C172" i="75" a="1"/>
  <c r="C172" i="75" s="1"/>
  <c r="G171" i="75" a="1"/>
  <c r="G171" i="75" s="1"/>
  <c r="C171" i="75" a="1"/>
  <c r="C171" i="75" s="1"/>
  <c r="G170" i="75" a="1"/>
  <c r="G170" i="75" s="1"/>
  <c r="C170" i="75" a="1"/>
  <c r="C170" i="75" s="1"/>
  <c r="G169" i="75"/>
  <c r="G169" i="75" a="1"/>
  <c r="C169" i="75" a="1"/>
  <c r="C169" i="75" s="1"/>
  <c r="C177" i="75" s="1"/>
  <c r="G168" i="75"/>
  <c r="G168" i="75" a="1"/>
  <c r="C168" i="75" a="1"/>
  <c r="C168" i="75" s="1"/>
  <c r="G165" i="75" a="1"/>
  <c r="G165" i="75" s="1"/>
  <c r="C165" i="75" a="1"/>
  <c r="C165" i="75" s="1"/>
  <c r="G164" i="75" a="1"/>
  <c r="G164" i="75" s="1"/>
  <c r="C164" i="75"/>
  <c r="C164" i="75" a="1"/>
  <c r="G163" i="75" a="1"/>
  <c r="G163" i="75" s="1"/>
  <c r="C163" i="75"/>
  <c r="C163" i="75" a="1"/>
  <c r="G162" i="75" a="1"/>
  <c r="G162" i="75" s="1"/>
  <c r="C162" i="75" a="1"/>
  <c r="C162" i="75" s="1"/>
  <c r="G161" i="75" a="1"/>
  <c r="G161" i="75" s="1"/>
  <c r="C161" i="75" a="1"/>
  <c r="C161" i="75" s="1"/>
  <c r="G160" i="75" a="1"/>
  <c r="G160" i="75" s="1"/>
  <c r="C160" i="75"/>
  <c r="C160" i="75" a="1"/>
  <c r="G159" i="75" a="1"/>
  <c r="G159" i="75" s="1"/>
  <c r="G166" i="75" s="1"/>
  <c r="C159" i="75"/>
  <c r="C159" i="75" a="1"/>
  <c r="G158" i="75" a="1"/>
  <c r="G158" i="75" s="1"/>
  <c r="C158" i="75" a="1"/>
  <c r="C158" i="75" s="1"/>
  <c r="G157" i="75" a="1"/>
  <c r="G157" i="75" s="1"/>
  <c r="C157" i="75" a="1"/>
  <c r="C157" i="75" s="1"/>
  <c r="G154" i="75"/>
  <c r="G154" i="75" a="1"/>
  <c r="C154" i="75" a="1"/>
  <c r="C154" i="75" s="1"/>
  <c r="G153" i="75"/>
  <c r="G153" i="75" a="1"/>
  <c r="C153" i="75" a="1"/>
  <c r="C153" i="75" s="1"/>
  <c r="G152" i="75" a="1"/>
  <c r="G152" i="75" s="1"/>
  <c r="C152" i="75" a="1"/>
  <c r="C152" i="75" s="1"/>
  <c r="G151" i="75" a="1"/>
  <c r="G151" i="75" s="1"/>
  <c r="C151" i="75" a="1"/>
  <c r="C151" i="75" s="1"/>
  <c r="G150" i="75"/>
  <c r="G150" i="75" a="1"/>
  <c r="C150" i="75" a="1"/>
  <c r="C150" i="75" s="1"/>
  <c r="G149" i="75"/>
  <c r="G149" i="75" a="1"/>
  <c r="C149" i="75" a="1"/>
  <c r="C149" i="75" s="1"/>
  <c r="G148" i="75" a="1"/>
  <c r="G148" i="75" s="1"/>
  <c r="C148" i="75" a="1"/>
  <c r="C148" i="75" s="1"/>
  <c r="G147" i="75" a="1"/>
  <c r="G147" i="75" s="1"/>
  <c r="C147" i="75" a="1"/>
  <c r="C147" i="75" s="1"/>
  <c r="C155" i="75" s="1"/>
  <c r="G146" i="75"/>
  <c r="G146" i="75" a="1"/>
  <c r="C146" i="75" a="1"/>
  <c r="C146" i="75" s="1"/>
  <c r="G143" i="75" a="1"/>
  <c r="G143" i="75" s="1"/>
  <c r="C143" i="75" a="1"/>
  <c r="C143" i="75" s="1"/>
  <c r="G142" i="75" a="1"/>
  <c r="G142" i="75" s="1"/>
  <c r="C142" i="75" a="1"/>
  <c r="C142" i="75" s="1"/>
  <c r="G141" i="75" a="1"/>
  <c r="G141" i="75" s="1"/>
  <c r="C141" i="75"/>
  <c r="C141" i="75" a="1"/>
  <c r="G140" i="75" a="1"/>
  <c r="G140" i="75" s="1"/>
  <c r="C140" i="75"/>
  <c r="C140" i="75" a="1"/>
  <c r="G139" i="75" a="1"/>
  <c r="G139" i="75" s="1"/>
  <c r="C139" i="75" a="1"/>
  <c r="C139" i="75" s="1"/>
  <c r="G138" i="75" a="1"/>
  <c r="G138" i="75" s="1"/>
  <c r="C138" i="75" a="1"/>
  <c r="C138" i="75" s="1"/>
  <c r="G137" i="75" a="1"/>
  <c r="G137" i="75" s="1"/>
  <c r="G144" i="75" s="1"/>
  <c r="C137" i="75"/>
  <c r="C137" i="75" a="1"/>
  <c r="G136" i="75" a="1"/>
  <c r="G136" i="75" s="1"/>
  <c r="C136" i="75"/>
  <c r="C136" i="75" a="1"/>
  <c r="G135" i="75" a="1"/>
  <c r="G135" i="75" s="1"/>
  <c r="C135" i="75" a="1"/>
  <c r="C135" i="75" s="1"/>
  <c r="C144" i="75" s="1"/>
  <c r="C133" i="75" a="1"/>
  <c r="C133" i="75" s="1"/>
  <c r="G132" i="75"/>
  <c r="G132" i="75" a="1"/>
  <c r="C132" i="75" a="1"/>
  <c r="C132" i="75" s="1"/>
  <c r="G131" i="75"/>
  <c r="G131" i="75" a="1"/>
  <c r="C131" i="75" a="1"/>
  <c r="C131" i="75" s="1"/>
  <c r="G130" i="75"/>
  <c r="G130" i="75" a="1"/>
  <c r="C130" i="75" a="1"/>
  <c r="C130" i="75" s="1"/>
  <c r="G129" i="75"/>
  <c r="G129" i="75" a="1"/>
  <c r="C129" i="75" a="1"/>
  <c r="C129" i="75" s="1"/>
  <c r="G128" i="75"/>
  <c r="G128" i="75" a="1"/>
  <c r="C128" i="75" a="1"/>
  <c r="C128" i="75" s="1"/>
  <c r="G127" i="75"/>
  <c r="G127" i="75" a="1"/>
  <c r="C127" i="75" a="1"/>
  <c r="C127" i="75" s="1"/>
  <c r="G126" i="75"/>
  <c r="G126" i="75" a="1"/>
  <c r="C126" i="75" a="1"/>
  <c r="C126" i="75" s="1"/>
  <c r="G125" i="75"/>
  <c r="G125" i="75" a="1"/>
  <c r="C125" i="75" a="1"/>
  <c r="C125" i="75" s="1"/>
  <c r="G124" i="75"/>
  <c r="G133" i="75" s="1"/>
  <c r="G124" i="75" a="1"/>
  <c r="C124" i="75" a="1"/>
  <c r="C124" i="75" s="1"/>
  <c r="C242" i="73"/>
  <c r="C242" i="73" a="1"/>
  <c r="C241" i="73" a="1"/>
  <c r="C241" i="73" s="1"/>
  <c r="C240" i="73"/>
  <c r="C240" i="73" a="1"/>
  <c r="C239" i="73" a="1"/>
  <c r="C239" i="73" s="1"/>
  <c r="C238" i="73"/>
  <c r="C238" i="73" a="1"/>
  <c r="C237" i="73" a="1"/>
  <c r="C237" i="73" s="1"/>
  <c r="C236" i="73"/>
  <c r="C236" i="73" a="1"/>
  <c r="C235" i="73" a="1"/>
  <c r="C235" i="73" s="1"/>
  <c r="C234" i="73" a="1"/>
  <c r="C234" i="73" s="1"/>
  <c r="G231" i="73" a="1"/>
  <c r="G231" i="73" s="1"/>
  <c r="C231" i="73" a="1"/>
  <c r="C231" i="73" s="1"/>
  <c r="G230" i="73" a="1"/>
  <c r="G230" i="73" s="1"/>
  <c r="C230" i="73" a="1"/>
  <c r="C230" i="73" s="1"/>
  <c r="G229" i="73" a="1"/>
  <c r="G229" i="73" s="1"/>
  <c r="C229" i="73"/>
  <c r="C229" i="73" a="1"/>
  <c r="G228" i="73" a="1"/>
  <c r="G228" i="73" s="1"/>
  <c r="C228" i="73" a="1"/>
  <c r="C228" i="73" s="1"/>
  <c r="G227" i="73" a="1"/>
  <c r="G227" i="73" s="1"/>
  <c r="C227" i="73" a="1"/>
  <c r="C227" i="73" s="1"/>
  <c r="G226" i="73" a="1"/>
  <c r="G226" i="73" s="1"/>
  <c r="C226" i="73" a="1"/>
  <c r="C226" i="73" s="1"/>
  <c r="G225" i="73" a="1"/>
  <c r="G225" i="73" s="1"/>
  <c r="G232" i="73" s="1"/>
  <c r="C225" i="73"/>
  <c r="C225" i="73" a="1"/>
  <c r="G224" i="73" a="1"/>
  <c r="G224" i="73" s="1"/>
  <c r="C224" i="73" a="1"/>
  <c r="C224" i="73" s="1"/>
  <c r="G223" i="73" a="1"/>
  <c r="G223" i="73" s="1"/>
  <c r="C223" i="73" a="1"/>
  <c r="C223" i="73" s="1"/>
  <c r="G220" i="73" a="1"/>
  <c r="G220" i="73" s="1"/>
  <c r="C220" i="73" a="1"/>
  <c r="C220" i="73" s="1"/>
  <c r="G219" i="73"/>
  <c r="G219" i="73" a="1"/>
  <c r="C219" i="73" a="1"/>
  <c r="C219" i="73" s="1"/>
  <c r="G218" i="73" a="1"/>
  <c r="G218" i="73" s="1"/>
  <c r="C218" i="73" a="1"/>
  <c r="C218" i="73" s="1"/>
  <c r="G217" i="73" a="1"/>
  <c r="G217" i="73" s="1"/>
  <c r="C217" i="73" a="1"/>
  <c r="C217" i="73" s="1"/>
  <c r="G216" i="73" a="1"/>
  <c r="G216" i="73" s="1"/>
  <c r="C216" i="73" a="1"/>
  <c r="C216" i="73" s="1"/>
  <c r="G215" i="73"/>
  <c r="G215" i="73" a="1"/>
  <c r="C215" i="73" a="1"/>
  <c r="C215" i="73" s="1"/>
  <c r="G214" i="73" a="1"/>
  <c r="G214" i="73" s="1"/>
  <c r="C214" i="73" a="1"/>
  <c r="C214" i="73" s="1"/>
  <c r="G213" i="73" a="1"/>
  <c r="G213" i="73" s="1"/>
  <c r="C213" i="73" a="1"/>
  <c r="C213" i="73" s="1"/>
  <c r="C221" i="73" s="1"/>
  <c r="G212" i="73" a="1"/>
  <c r="G212" i="73" s="1"/>
  <c r="C212" i="73" a="1"/>
  <c r="C212" i="73" s="1"/>
  <c r="G209" i="73" a="1"/>
  <c r="G209" i="73" s="1"/>
  <c r="C209" i="73" a="1"/>
  <c r="C209" i="73" s="1"/>
  <c r="G208" i="73" a="1"/>
  <c r="G208" i="73" s="1"/>
  <c r="C208" i="73" a="1"/>
  <c r="C208" i="73" s="1"/>
  <c r="G207" i="73" a="1"/>
  <c r="G207" i="73" s="1"/>
  <c r="C207" i="73" a="1"/>
  <c r="C207" i="73" s="1"/>
  <c r="G206" i="73" a="1"/>
  <c r="G206" i="73" s="1"/>
  <c r="C206" i="73"/>
  <c r="C206" i="73" a="1"/>
  <c r="G205" i="73" a="1"/>
  <c r="G205" i="73" s="1"/>
  <c r="C205" i="73" a="1"/>
  <c r="C205" i="73" s="1"/>
  <c r="G204" i="73" a="1"/>
  <c r="G204" i="73" s="1"/>
  <c r="C204" i="73" a="1"/>
  <c r="C204" i="73" s="1"/>
  <c r="G203" i="73" a="1"/>
  <c r="G203" i="73" s="1"/>
  <c r="G210" i="73" s="1"/>
  <c r="C203" i="73" a="1"/>
  <c r="C203" i="73" s="1"/>
  <c r="G202" i="73" a="1"/>
  <c r="G202" i="73" s="1"/>
  <c r="C202" i="73"/>
  <c r="C202" i="73" a="1"/>
  <c r="G201" i="73" a="1"/>
  <c r="G201" i="73" s="1"/>
  <c r="C201" i="73" a="1"/>
  <c r="C201" i="73" s="1"/>
  <c r="G198" i="73" a="1"/>
  <c r="G198" i="73" s="1"/>
  <c r="C198" i="73" a="1"/>
  <c r="C198" i="73" s="1"/>
  <c r="G197" i="73" a="1"/>
  <c r="G197" i="73" s="1"/>
  <c r="C197" i="73" a="1"/>
  <c r="C197" i="73" s="1"/>
  <c r="G196" i="73"/>
  <c r="G196" i="73" a="1"/>
  <c r="C196" i="73" a="1"/>
  <c r="C196" i="73" s="1"/>
  <c r="G195" i="73" a="1"/>
  <c r="G195" i="73" s="1"/>
  <c r="C195" i="73" a="1"/>
  <c r="C195" i="73" s="1"/>
  <c r="G194" i="73" a="1"/>
  <c r="G194" i="73" s="1"/>
  <c r="C194" i="73" a="1"/>
  <c r="C194" i="73" s="1"/>
  <c r="G193" i="73" a="1"/>
  <c r="G193" i="73" s="1"/>
  <c r="C193" i="73" a="1"/>
  <c r="C193" i="73" s="1"/>
  <c r="G192" i="73"/>
  <c r="G192" i="73" a="1"/>
  <c r="C192" i="73" a="1"/>
  <c r="C192" i="73" s="1"/>
  <c r="G191" i="73" a="1"/>
  <c r="G191" i="73" s="1"/>
  <c r="C191" i="73" a="1"/>
  <c r="C191" i="73" s="1"/>
  <c r="G190" i="73" a="1"/>
  <c r="G190" i="73" s="1"/>
  <c r="C190" i="73" a="1"/>
  <c r="C190" i="73" s="1"/>
  <c r="C199" i="73" s="1"/>
  <c r="G187" i="73" a="1"/>
  <c r="G187" i="73" s="1"/>
  <c r="C187" i="73"/>
  <c r="C187" i="73" a="1"/>
  <c r="G186" i="73" a="1"/>
  <c r="G186" i="73" s="1"/>
  <c r="C186" i="73" a="1"/>
  <c r="C186" i="73" s="1"/>
  <c r="G185" i="73" a="1"/>
  <c r="G185" i="73" s="1"/>
  <c r="C185" i="73" a="1"/>
  <c r="C185" i="73" s="1"/>
  <c r="G184" i="73" a="1"/>
  <c r="G184" i="73" s="1"/>
  <c r="C184" i="73" a="1"/>
  <c r="C184" i="73" s="1"/>
  <c r="G183" i="73" a="1"/>
  <c r="G183" i="73" s="1"/>
  <c r="C183" i="73"/>
  <c r="C183" i="73" a="1"/>
  <c r="G182" i="73" a="1"/>
  <c r="G182" i="73" s="1"/>
  <c r="C182" i="73" a="1"/>
  <c r="C182" i="73" s="1"/>
  <c r="G181" i="73" a="1"/>
  <c r="G181" i="73" s="1"/>
  <c r="C181" i="73" a="1"/>
  <c r="C181" i="73" s="1"/>
  <c r="G180" i="73" a="1"/>
  <c r="G180" i="73" s="1"/>
  <c r="C180" i="73" a="1"/>
  <c r="C180" i="73" s="1"/>
  <c r="G179" i="73" a="1"/>
  <c r="G179" i="73" s="1"/>
  <c r="G188" i="73" s="1"/>
  <c r="C179" i="73"/>
  <c r="C179" i="73" a="1"/>
  <c r="G176" i="73" a="1"/>
  <c r="G176" i="73" s="1"/>
  <c r="C176" i="73" a="1"/>
  <c r="C176" i="73" s="1"/>
  <c r="G175" i="73" a="1"/>
  <c r="G175" i="73" s="1"/>
  <c r="C175" i="73" a="1"/>
  <c r="C175" i="73" s="1"/>
  <c r="G174" i="73" a="1"/>
  <c r="G174" i="73" s="1"/>
  <c r="C174" i="73" a="1"/>
  <c r="C174" i="73" s="1"/>
  <c r="G173" i="73"/>
  <c r="G173" i="73" a="1"/>
  <c r="C173" i="73" a="1"/>
  <c r="C173" i="73" s="1"/>
  <c r="G172" i="73" a="1"/>
  <c r="G172" i="73" s="1"/>
  <c r="C172" i="73" a="1"/>
  <c r="C172" i="73" s="1"/>
  <c r="G171" i="73" a="1"/>
  <c r="G171" i="73" s="1"/>
  <c r="C171" i="73" a="1"/>
  <c r="C171" i="73" s="1"/>
  <c r="G170" i="73" a="1"/>
  <c r="G170" i="73" s="1"/>
  <c r="C170" i="73" a="1"/>
  <c r="C170" i="73" s="1"/>
  <c r="G169" i="73"/>
  <c r="G169" i="73" a="1"/>
  <c r="C169" i="73" a="1"/>
  <c r="C169" i="73" s="1"/>
  <c r="C177" i="73" s="1"/>
  <c r="G168" i="73" a="1"/>
  <c r="G168" i="73" s="1"/>
  <c r="C168" i="73" a="1"/>
  <c r="C168" i="73" s="1"/>
  <c r="G165" i="73" a="1"/>
  <c r="G165" i="73" s="1"/>
  <c r="C165" i="73" a="1"/>
  <c r="C165" i="73" s="1"/>
  <c r="G164" i="73" a="1"/>
  <c r="G164" i="73" s="1"/>
  <c r="C164" i="73"/>
  <c r="C164" i="73" a="1"/>
  <c r="G163" i="73" a="1"/>
  <c r="G163" i="73" s="1"/>
  <c r="C163" i="73" a="1"/>
  <c r="C163" i="73" s="1"/>
  <c r="G162" i="73" a="1"/>
  <c r="G162" i="73" s="1"/>
  <c r="C162" i="73" a="1"/>
  <c r="C162" i="73" s="1"/>
  <c r="G161" i="73" a="1"/>
  <c r="G161" i="73" s="1"/>
  <c r="C161" i="73" a="1"/>
  <c r="C161" i="73" s="1"/>
  <c r="G160" i="73" a="1"/>
  <c r="G160" i="73" s="1"/>
  <c r="C160" i="73"/>
  <c r="C160" i="73" a="1"/>
  <c r="G159" i="73" a="1"/>
  <c r="G159" i="73" s="1"/>
  <c r="C159" i="73" a="1"/>
  <c r="C159" i="73" s="1"/>
  <c r="G158" i="73" a="1"/>
  <c r="G158" i="73" s="1"/>
  <c r="C158" i="73" a="1"/>
  <c r="C158" i="73" s="1"/>
  <c r="G157" i="73" a="1"/>
  <c r="G157" i="73" s="1"/>
  <c r="G166" i="73" s="1"/>
  <c r="C157" i="73" a="1"/>
  <c r="C157" i="73" s="1"/>
  <c r="G154" i="73"/>
  <c r="G154" i="73" a="1"/>
  <c r="C154" i="73" a="1"/>
  <c r="C154" i="73" s="1"/>
  <c r="G153" i="73" a="1"/>
  <c r="G153" i="73" s="1"/>
  <c r="C153" i="73" a="1"/>
  <c r="C153" i="73" s="1"/>
  <c r="G152" i="73" a="1"/>
  <c r="G152" i="73" s="1"/>
  <c r="C152" i="73" a="1"/>
  <c r="C152" i="73" s="1"/>
  <c r="G151" i="73" a="1"/>
  <c r="G151" i="73" s="1"/>
  <c r="C151" i="73" a="1"/>
  <c r="C151" i="73" s="1"/>
  <c r="G150" i="73"/>
  <c r="G150" i="73" a="1"/>
  <c r="C150" i="73" a="1"/>
  <c r="C150" i="73" s="1"/>
  <c r="G149" i="73" a="1"/>
  <c r="G149" i="73" s="1"/>
  <c r="C149" i="73" a="1"/>
  <c r="C149" i="73" s="1"/>
  <c r="G148" i="73" a="1"/>
  <c r="G148" i="73" s="1"/>
  <c r="C148" i="73" a="1"/>
  <c r="C148" i="73" s="1"/>
  <c r="G147" i="73" a="1"/>
  <c r="G147" i="73" s="1"/>
  <c r="C147" i="73" a="1"/>
  <c r="C147" i="73" s="1"/>
  <c r="C155" i="73" s="1"/>
  <c r="G146" i="73"/>
  <c r="G146" i="73" a="1"/>
  <c r="C146" i="73" a="1"/>
  <c r="C146" i="73" s="1"/>
  <c r="G143" i="73" a="1"/>
  <c r="G143" i="73" s="1"/>
  <c r="C143" i="73" a="1"/>
  <c r="C143" i="73" s="1"/>
  <c r="G142" i="73" a="1"/>
  <c r="G142" i="73" s="1"/>
  <c r="C142" i="73" a="1"/>
  <c r="C142" i="73" s="1"/>
  <c r="G141" i="73" a="1"/>
  <c r="G141" i="73" s="1"/>
  <c r="C141" i="73"/>
  <c r="C141" i="73" a="1"/>
  <c r="G140" i="73" a="1"/>
  <c r="G140" i="73" s="1"/>
  <c r="C140" i="73" a="1"/>
  <c r="C140" i="73" s="1"/>
  <c r="G139" i="73" a="1"/>
  <c r="G139" i="73" s="1"/>
  <c r="C139" i="73" a="1"/>
  <c r="C139" i="73" s="1"/>
  <c r="G138" i="73"/>
  <c r="G138" i="73" a="1"/>
  <c r="C138" i="73" a="1"/>
  <c r="C138" i="73" s="1"/>
  <c r="G137" i="73"/>
  <c r="G137" i="73" a="1"/>
  <c r="C137" i="73" a="1"/>
  <c r="C137" i="73" s="1"/>
  <c r="G136" i="73"/>
  <c r="G136" i="73" a="1"/>
  <c r="C136" i="73" a="1"/>
  <c r="C136" i="73" s="1"/>
  <c r="G135" i="73"/>
  <c r="G144" i="73" s="1"/>
  <c r="G135" i="73" a="1"/>
  <c r="C135" i="73" a="1"/>
  <c r="C135" i="73" s="1"/>
  <c r="C133" i="73" a="1"/>
  <c r="C133" i="73" s="1"/>
  <c r="G132" i="73"/>
  <c r="G132" i="73" a="1"/>
  <c r="C132" i="73" a="1"/>
  <c r="C132" i="73" s="1"/>
  <c r="G131" i="73"/>
  <c r="G131" i="73" a="1"/>
  <c r="C131" i="73" a="1"/>
  <c r="C131" i="73" s="1"/>
  <c r="G130" i="73"/>
  <c r="G130" i="73" a="1"/>
  <c r="C130" i="73" a="1"/>
  <c r="C130" i="73" s="1"/>
  <c r="G129" i="73"/>
  <c r="G129" i="73" a="1"/>
  <c r="C129" i="73" a="1"/>
  <c r="C129" i="73" s="1"/>
  <c r="G128" i="73"/>
  <c r="G128" i="73" a="1"/>
  <c r="C128" i="73" a="1"/>
  <c r="C128" i="73" s="1"/>
  <c r="G127" i="73"/>
  <c r="G127" i="73" a="1"/>
  <c r="C127" i="73" a="1"/>
  <c r="C127" i="73" s="1"/>
  <c r="G126" i="73"/>
  <c r="G126" i="73" a="1"/>
  <c r="C126" i="73" a="1"/>
  <c r="C126" i="73" s="1"/>
  <c r="G125" i="73"/>
  <c r="G125" i="73" a="1"/>
  <c r="C125" i="73" a="1"/>
  <c r="C125" i="73" s="1"/>
  <c r="G124" i="73"/>
  <c r="G133" i="73" s="1"/>
  <c r="G124" i="73" a="1"/>
  <c r="C124" i="73" a="1"/>
  <c r="C124" i="73" s="1"/>
  <c r="C242" i="69"/>
  <c r="C242" i="69" a="1"/>
  <c r="C241" i="69" a="1"/>
  <c r="C241" i="69" s="1"/>
  <c r="C240" i="69"/>
  <c r="C240" i="69" a="1"/>
  <c r="C239" i="69" a="1"/>
  <c r="C239" i="69" s="1"/>
  <c r="C238" i="69"/>
  <c r="C238" i="69" a="1"/>
  <c r="C237" i="69" a="1"/>
  <c r="C237" i="69" s="1"/>
  <c r="C236" i="69"/>
  <c r="C236" i="69" a="1"/>
  <c r="C235" i="69" a="1"/>
  <c r="C235" i="69" s="1"/>
  <c r="C243" i="69" s="1"/>
  <c r="C234" i="69"/>
  <c r="C234" i="69" a="1"/>
  <c r="G231" i="69"/>
  <c r="G231" i="69" a="1"/>
  <c r="C231" i="69" a="1"/>
  <c r="C231" i="69" s="1"/>
  <c r="G230" i="69"/>
  <c r="G230" i="69" a="1"/>
  <c r="C230" i="69" a="1"/>
  <c r="C230" i="69" s="1"/>
  <c r="G229" i="69" a="1"/>
  <c r="G229" i="69" s="1"/>
  <c r="C229" i="69" a="1"/>
  <c r="C229" i="69" s="1"/>
  <c r="G228" i="69" a="1"/>
  <c r="G228" i="69" s="1"/>
  <c r="C228" i="69" a="1"/>
  <c r="C228" i="69" s="1"/>
  <c r="G227" i="69" a="1"/>
  <c r="G227" i="69" s="1"/>
  <c r="C227" i="69"/>
  <c r="C227" i="69" a="1"/>
  <c r="G226" i="69" a="1"/>
  <c r="G226" i="69" s="1"/>
  <c r="C226" i="69" a="1"/>
  <c r="C226" i="69" s="1"/>
  <c r="G225" i="69" a="1"/>
  <c r="G225" i="69" s="1"/>
  <c r="C225" i="69" a="1"/>
  <c r="C225" i="69" s="1"/>
  <c r="G224" i="69" a="1"/>
  <c r="G224" i="69" s="1"/>
  <c r="C224" i="69" a="1"/>
  <c r="C224" i="69" s="1"/>
  <c r="G223" i="69" a="1"/>
  <c r="G223" i="69" s="1"/>
  <c r="G232" i="69" s="1"/>
  <c r="C223" i="69"/>
  <c r="C223" i="69" a="1"/>
  <c r="G220" i="69" a="1"/>
  <c r="G220" i="69" s="1"/>
  <c r="C220" i="69" a="1"/>
  <c r="C220" i="69" s="1"/>
  <c r="G219" i="69" a="1"/>
  <c r="G219" i="69" s="1"/>
  <c r="C219" i="69" a="1"/>
  <c r="C219" i="69" s="1"/>
  <c r="G218" i="69" a="1"/>
  <c r="G218" i="69" s="1"/>
  <c r="C218" i="69" a="1"/>
  <c r="C218" i="69" s="1"/>
  <c r="G217" i="69"/>
  <c r="G217" i="69" a="1"/>
  <c r="C217" i="69" a="1"/>
  <c r="C217" i="69" s="1"/>
  <c r="G216" i="69" a="1"/>
  <c r="G216" i="69" s="1"/>
  <c r="C216" i="69" a="1"/>
  <c r="C216" i="69" s="1"/>
  <c r="G215" i="69" a="1"/>
  <c r="G215" i="69" s="1"/>
  <c r="C215" i="69" a="1"/>
  <c r="C215" i="69" s="1"/>
  <c r="G214" i="69" a="1"/>
  <c r="G214" i="69" s="1"/>
  <c r="C214" i="69" a="1"/>
  <c r="C214" i="69" s="1"/>
  <c r="G213" i="69"/>
  <c r="G213" i="69" a="1"/>
  <c r="C213" i="69" a="1"/>
  <c r="C213" i="69" s="1"/>
  <c r="G212" i="69" a="1"/>
  <c r="G212" i="69" s="1"/>
  <c r="C212" i="69" a="1"/>
  <c r="C212" i="69" s="1"/>
  <c r="C221" i="69" s="1"/>
  <c r="G209" i="69" a="1"/>
  <c r="G209" i="69" s="1"/>
  <c r="C209" i="69" a="1"/>
  <c r="C209" i="69" s="1"/>
  <c r="G208" i="69" a="1"/>
  <c r="G208" i="69" s="1"/>
  <c r="C208" i="69"/>
  <c r="C208" i="69" a="1"/>
  <c r="G207" i="69" a="1"/>
  <c r="G207" i="69" s="1"/>
  <c r="C207" i="69" a="1"/>
  <c r="C207" i="69" s="1"/>
  <c r="G206" i="69" a="1"/>
  <c r="G206" i="69" s="1"/>
  <c r="C206" i="69" a="1"/>
  <c r="C206" i="69" s="1"/>
  <c r="G205" i="69" a="1"/>
  <c r="G205" i="69" s="1"/>
  <c r="C205" i="69" a="1"/>
  <c r="C205" i="69" s="1"/>
  <c r="G204" i="69" a="1"/>
  <c r="G204" i="69" s="1"/>
  <c r="C204" i="69"/>
  <c r="C204" i="69" a="1"/>
  <c r="G203" i="69" a="1"/>
  <c r="G203" i="69" s="1"/>
  <c r="C203" i="69" a="1"/>
  <c r="C203" i="69" s="1"/>
  <c r="G202" i="69" a="1"/>
  <c r="G202" i="69" s="1"/>
  <c r="C202" i="69" a="1"/>
  <c r="C202" i="69" s="1"/>
  <c r="G201" i="69" a="1"/>
  <c r="G201" i="69" s="1"/>
  <c r="G210" i="69" s="1"/>
  <c r="C201" i="69" a="1"/>
  <c r="C201" i="69" s="1"/>
  <c r="G198" i="69"/>
  <c r="G198" i="69" a="1"/>
  <c r="C198" i="69" a="1"/>
  <c r="C198" i="69" s="1"/>
  <c r="G197" i="69" a="1"/>
  <c r="G197" i="69" s="1"/>
  <c r="C197" i="69" a="1"/>
  <c r="C197" i="69" s="1"/>
  <c r="G196" i="69" a="1"/>
  <c r="G196" i="69" s="1"/>
  <c r="C196" i="69" a="1"/>
  <c r="C196" i="69" s="1"/>
  <c r="G195" i="69" a="1"/>
  <c r="G195" i="69" s="1"/>
  <c r="C195" i="69" a="1"/>
  <c r="C195" i="69" s="1"/>
  <c r="G194" i="69"/>
  <c r="G194" i="69" a="1"/>
  <c r="C194" i="69" a="1"/>
  <c r="C194" i="69" s="1"/>
  <c r="G193" i="69" a="1"/>
  <c r="G193" i="69" s="1"/>
  <c r="C193" i="69" a="1"/>
  <c r="C193" i="69" s="1"/>
  <c r="G192" i="69" a="1"/>
  <c r="G192" i="69" s="1"/>
  <c r="C192" i="69" a="1"/>
  <c r="C192" i="69" s="1"/>
  <c r="G191" i="69" a="1"/>
  <c r="G191" i="69" s="1"/>
  <c r="C191" i="69" a="1"/>
  <c r="C191" i="69" s="1"/>
  <c r="C199" i="69" s="1"/>
  <c r="G190" i="69"/>
  <c r="G190" i="69" a="1"/>
  <c r="C190" i="69" a="1"/>
  <c r="C190" i="69" s="1"/>
  <c r="G187" i="69" a="1"/>
  <c r="G187" i="69" s="1"/>
  <c r="C187" i="69" a="1"/>
  <c r="C187" i="69" s="1"/>
  <c r="G186" i="69" a="1"/>
  <c r="G186" i="69" s="1"/>
  <c r="C186" i="69" a="1"/>
  <c r="C186" i="69" s="1"/>
  <c r="G185" i="69" a="1"/>
  <c r="G185" i="69" s="1"/>
  <c r="C185" i="69"/>
  <c r="C185" i="69" a="1"/>
  <c r="G184" i="69" a="1"/>
  <c r="G184" i="69" s="1"/>
  <c r="C184" i="69" a="1"/>
  <c r="C184" i="69" s="1"/>
  <c r="G183" i="69" a="1"/>
  <c r="G183" i="69" s="1"/>
  <c r="C183" i="69" a="1"/>
  <c r="C183" i="69" s="1"/>
  <c r="G182" i="69" a="1"/>
  <c r="G182" i="69" s="1"/>
  <c r="C182" i="69" a="1"/>
  <c r="C182" i="69" s="1"/>
  <c r="G181" i="69" a="1"/>
  <c r="G181" i="69" s="1"/>
  <c r="G188" i="69" s="1"/>
  <c r="C181" i="69"/>
  <c r="C181" i="69" a="1"/>
  <c r="G180" i="69" a="1"/>
  <c r="G180" i="69" s="1"/>
  <c r="C180" i="69" a="1"/>
  <c r="C180" i="69" s="1"/>
  <c r="G179" i="69" a="1"/>
  <c r="G179" i="69" s="1"/>
  <c r="C179" i="69" a="1"/>
  <c r="C179" i="69" s="1"/>
  <c r="G176" i="69" a="1"/>
  <c r="G176" i="69" s="1"/>
  <c r="C176" i="69" a="1"/>
  <c r="C176" i="69" s="1"/>
  <c r="G175" i="69"/>
  <c r="G175" i="69" a="1"/>
  <c r="C175" i="69" a="1"/>
  <c r="C175" i="69" s="1"/>
  <c r="G174" i="69" a="1"/>
  <c r="G174" i="69" s="1"/>
  <c r="C174" i="69" a="1"/>
  <c r="C174" i="69" s="1"/>
  <c r="G173" i="69" a="1"/>
  <c r="G173" i="69" s="1"/>
  <c r="C173" i="69" a="1"/>
  <c r="C173" i="69" s="1"/>
  <c r="G172" i="69" a="1"/>
  <c r="G172" i="69" s="1"/>
  <c r="C172" i="69" a="1"/>
  <c r="C172" i="69" s="1"/>
  <c r="G171" i="69"/>
  <c r="G171" i="69" a="1"/>
  <c r="C171" i="69" a="1"/>
  <c r="C171" i="69" s="1"/>
  <c r="G170" i="69" a="1"/>
  <c r="G170" i="69" s="1"/>
  <c r="C170" i="69" a="1"/>
  <c r="C170" i="69" s="1"/>
  <c r="G169" i="69" a="1"/>
  <c r="G169" i="69" s="1"/>
  <c r="C169" i="69" a="1"/>
  <c r="C169" i="69" s="1"/>
  <c r="C177" i="69" s="1"/>
  <c r="G168" i="69" a="1"/>
  <c r="G168" i="69" s="1"/>
  <c r="C168" i="69" a="1"/>
  <c r="C168" i="69" s="1"/>
  <c r="G165" i="69" a="1"/>
  <c r="G165" i="69" s="1"/>
  <c r="C165" i="69" a="1"/>
  <c r="C165" i="69" s="1"/>
  <c r="G164" i="69" a="1"/>
  <c r="G164" i="69" s="1"/>
  <c r="C164" i="69" a="1"/>
  <c r="C164" i="69" s="1"/>
  <c r="G163" i="69" a="1"/>
  <c r="G163" i="69" s="1"/>
  <c r="C163" i="69" a="1"/>
  <c r="C163" i="69" s="1"/>
  <c r="G162" i="69" a="1"/>
  <c r="G162" i="69" s="1"/>
  <c r="C162" i="69"/>
  <c r="C162" i="69" a="1"/>
  <c r="G161" i="69" a="1"/>
  <c r="G161" i="69" s="1"/>
  <c r="C161" i="69" a="1"/>
  <c r="C161" i="69" s="1"/>
  <c r="G160" i="69" a="1"/>
  <c r="G160" i="69" s="1"/>
  <c r="C160" i="69" a="1"/>
  <c r="C160" i="69" s="1"/>
  <c r="G159" i="69" a="1"/>
  <c r="G159" i="69" s="1"/>
  <c r="G166" i="69" s="1"/>
  <c r="C159" i="69" a="1"/>
  <c r="C159" i="69" s="1"/>
  <c r="G158" i="69" a="1"/>
  <c r="G158" i="69" s="1"/>
  <c r="C158" i="69"/>
  <c r="C158" i="69" a="1"/>
  <c r="G157" i="69" a="1"/>
  <c r="G157" i="69" s="1"/>
  <c r="C157" i="69" a="1"/>
  <c r="C157" i="69" s="1"/>
  <c r="G154" i="69" a="1"/>
  <c r="G154" i="69" s="1"/>
  <c r="C154" i="69" a="1"/>
  <c r="C154" i="69" s="1"/>
  <c r="G153" i="69" a="1"/>
  <c r="G153" i="69" s="1"/>
  <c r="C153" i="69" a="1"/>
  <c r="C153" i="69" s="1"/>
  <c r="G152" i="69"/>
  <c r="G152" i="69" a="1"/>
  <c r="C152" i="69" a="1"/>
  <c r="C152" i="69" s="1"/>
  <c r="G151" i="69" a="1"/>
  <c r="G151" i="69" s="1"/>
  <c r="C151" i="69" a="1"/>
  <c r="C151" i="69" s="1"/>
  <c r="G150" i="69" a="1"/>
  <c r="G150" i="69" s="1"/>
  <c r="C150" i="69" a="1"/>
  <c r="C150" i="69" s="1"/>
  <c r="G149" i="69" a="1"/>
  <c r="G149" i="69" s="1"/>
  <c r="C149" i="69" a="1"/>
  <c r="C149" i="69" s="1"/>
  <c r="G148" i="69"/>
  <c r="G148" i="69" a="1"/>
  <c r="C148" i="69" a="1"/>
  <c r="C148" i="69" s="1"/>
  <c r="G147" i="69" a="1"/>
  <c r="G147" i="69" s="1"/>
  <c r="C147" i="69" a="1"/>
  <c r="C147" i="69" s="1"/>
  <c r="G146" i="69" a="1"/>
  <c r="G146" i="69" s="1"/>
  <c r="C146" i="69" a="1"/>
  <c r="C146" i="69" s="1"/>
  <c r="C155" i="69" s="1"/>
  <c r="G143" i="69" a="1"/>
  <c r="G143" i="69" s="1"/>
  <c r="C143" i="69"/>
  <c r="C143" i="69" a="1"/>
  <c r="G142" i="69" a="1"/>
  <c r="G142" i="69" s="1"/>
  <c r="C142" i="69" a="1"/>
  <c r="C142" i="69" s="1"/>
  <c r="G141" i="69" a="1"/>
  <c r="G141" i="69" s="1"/>
  <c r="C141" i="69" a="1"/>
  <c r="C141" i="69" s="1"/>
  <c r="G140" i="69" a="1"/>
  <c r="G140" i="69" s="1"/>
  <c r="C140" i="69" a="1"/>
  <c r="C140" i="69" s="1"/>
  <c r="G139" i="69" a="1"/>
  <c r="G139" i="69" s="1"/>
  <c r="C139" i="69"/>
  <c r="C139" i="69" a="1"/>
  <c r="G138" i="69" a="1"/>
  <c r="G138" i="69" s="1"/>
  <c r="C138" i="69" a="1"/>
  <c r="C138" i="69" s="1"/>
  <c r="G137" i="69" a="1"/>
  <c r="G137" i="69" s="1"/>
  <c r="C137" i="69" a="1"/>
  <c r="C137" i="69" s="1"/>
  <c r="G136" i="69" a="1"/>
  <c r="G136" i="69" s="1"/>
  <c r="C136" i="69" a="1"/>
  <c r="C136" i="69" s="1"/>
  <c r="G135" i="69" a="1"/>
  <c r="G135" i="69" s="1"/>
  <c r="G144" i="69" s="1"/>
  <c r="C135" i="69" a="1"/>
  <c r="C135" i="69" s="1"/>
  <c r="C133" i="69" a="1"/>
  <c r="C133" i="69" s="1"/>
  <c r="G132" i="69" a="1"/>
  <c r="G132" i="69" s="1"/>
  <c r="C132" i="69" a="1"/>
  <c r="C132" i="69" s="1"/>
  <c r="G131" i="69" a="1"/>
  <c r="G131" i="69" s="1"/>
  <c r="C131" i="69" a="1"/>
  <c r="C131" i="69" s="1"/>
  <c r="G130" i="69" a="1"/>
  <c r="G130" i="69" s="1"/>
  <c r="C130" i="69" a="1"/>
  <c r="C130" i="69" s="1"/>
  <c r="G129" i="69" a="1"/>
  <c r="G129" i="69" s="1"/>
  <c r="C129" i="69" a="1"/>
  <c r="C129" i="69" s="1"/>
  <c r="G128" i="69" a="1"/>
  <c r="G128" i="69" s="1"/>
  <c r="C128" i="69" a="1"/>
  <c r="C128" i="69" s="1"/>
  <c r="G127" i="69" a="1"/>
  <c r="G127" i="69" s="1"/>
  <c r="C127" i="69" a="1"/>
  <c r="C127" i="69" s="1"/>
  <c r="G126" i="69" a="1"/>
  <c r="G126" i="69" s="1"/>
  <c r="C126" i="69" a="1"/>
  <c r="C126" i="69" s="1"/>
  <c r="G125" i="69" a="1"/>
  <c r="G125" i="69" s="1"/>
  <c r="C125" i="69" a="1"/>
  <c r="C125" i="69" s="1"/>
  <c r="G124" i="69" a="1"/>
  <c r="G124" i="69" s="1"/>
  <c r="C124" i="69" a="1"/>
  <c r="C124" i="69" s="1"/>
  <c r="C242" i="66"/>
  <c r="C242" i="66" a="1"/>
  <c r="C241" i="66" a="1"/>
  <c r="C241" i="66" s="1"/>
  <c r="C240" i="66"/>
  <c r="C240" i="66" a="1"/>
  <c r="C239" i="66" a="1"/>
  <c r="C239" i="66" s="1"/>
  <c r="C238" i="66"/>
  <c r="C238" i="66" a="1"/>
  <c r="C237" i="66" a="1"/>
  <c r="C237" i="66" s="1"/>
  <c r="C236" i="66"/>
  <c r="C236" i="66" a="1"/>
  <c r="C235" i="66" a="1"/>
  <c r="C235" i="66" s="1"/>
  <c r="C234" i="66"/>
  <c r="C234" i="66" a="1"/>
  <c r="G231" i="66"/>
  <c r="G231" i="66" a="1"/>
  <c r="C231" i="66"/>
  <c r="C231" i="66" a="1"/>
  <c r="G230" i="66"/>
  <c r="G230" i="66" a="1"/>
  <c r="C230" i="66"/>
  <c r="C230" i="66" a="1"/>
  <c r="G229" i="66" a="1"/>
  <c r="G229" i="66" s="1"/>
  <c r="C229" i="66" a="1"/>
  <c r="C229" i="66" s="1"/>
  <c r="G228" i="66" a="1"/>
  <c r="G228" i="66" s="1"/>
  <c r="C228" i="66" a="1"/>
  <c r="C228" i="66" s="1"/>
  <c r="G227" i="66" a="1"/>
  <c r="G227" i="66" s="1"/>
  <c r="C227" i="66"/>
  <c r="C227" i="66" a="1"/>
  <c r="G226" i="66" a="1"/>
  <c r="G226" i="66" s="1"/>
  <c r="C226" i="66"/>
  <c r="C226" i="66" a="1"/>
  <c r="G225" i="66" a="1"/>
  <c r="G225" i="66" s="1"/>
  <c r="C225" i="66" a="1"/>
  <c r="C225" i="66" s="1"/>
  <c r="G224" i="66" a="1"/>
  <c r="G224" i="66" s="1"/>
  <c r="C224" i="66" a="1"/>
  <c r="C224" i="66" s="1"/>
  <c r="G223" i="66" a="1"/>
  <c r="G223" i="66" s="1"/>
  <c r="C223" i="66"/>
  <c r="C223" i="66" a="1"/>
  <c r="G220" i="66"/>
  <c r="G220" i="66" a="1"/>
  <c r="C220" i="66" a="1"/>
  <c r="C220" i="66" s="1"/>
  <c r="G219" i="66" a="1"/>
  <c r="G219" i="66" s="1"/>
  <c r="C219" i="66" a="1"/>
  <c r="C219" i="66" s="1"/>
  <c r="G218" i="66" a="1"/>
  <c r="G218" i="66" s="1"/>
  <c r="C218" i="66" a="1"/>
  <c r="C218" i="66" s="1"/>
  <c r="G217" i="66"/>
  <c r="G217" i="66" a="1"/>
  <c r="C217" i="66" a="1"/>
  <c r="C217" i="66" s="1"/>
  <c r="G216" i="66"/>
  <c r="G216" i="66" a="1"/>
  <c r="C216" i="66" a="1"/>
  <c r="C216" i="66" s="1"/>
  <c r="G215" i="66" a="1"/>
  <c r="G215" i="66" s="1"/>
  <c r="C215" i="66" a="1"/>
  <c r="C215" i="66" s="1"/>
  <c r="G214" i="66" a="1"/>
  <c r="G214" i="66" s="1"/>
  <c r="C214" i="66" a="1"/>
  <c r="C214" i="66" s="1"/>
  <c r="G213" i="66"/>
  <c r="G213" i="66" a="1"/>
  <c r="C213" i="66" a="1"/>
  <c r="C213" i="66" s="1"/>
  <c r="G212" i="66"/>
  <c r="G212" i="66" a="1"/>
  <c r="C212" i="66" a="1"/>
  <c r="C212" i="66" s="1"/>
  <c r="G209" i="66" a="1"/>
  <c r="G209" i="66" s="1"/>
  <c r="C209" i="66" a="1"/>
  <c r="C209" i="66" s="1"/>
  <c r="G208" i="66" a="1"/>
  <c r="G208" i="66" s="1"/>
  <c r="C208" i="66"/>
  <c r="C208" i="66" a="1"/>
  <c r="G207" i="66" a="1"/>
  <c r="G207" i="66" s="1"/>
  <c r="C207" i="66"/>
  <c r="C207" i="66" a="1"/>
  <c r="G206" i="66" a="1"/>
  <c r="G206" i="66" s="1"/>
  <c r="C206" i="66" a="1"/>
  <c r="C206" i="66" s="1"/>
  <c r="G205" i="66" a="1"/>
  <c r="G205" i="66" s="1"/>
  <c r="C205" i="66" a="1"/>
  <c r="C205" i="66" s="1"/>
  <c r="G204" i="66" a="1"/>
  <c r="G204" i="66" s="1"/>
  <c r="C204" i="66"/>
  <c r="C204" i="66" a="1"/>
  <c r="G203" i="66" a="1"/>
  <c r="G203" i="66" s="1"/>
  <c r="C203" i="66"/>
  <c r="C203" i="66" a="1"/>
  <c r="G202" i="66" a="1"/>
  <c r="G202" i="66" s="1"/>
  <c r="C202" i="66" a="1"/>
  <c r="C202" i="66" s="1"/>
  <c r="G201" i="66" a="1"/>
  <c r="G201" i="66" s="1"/>
  <c r="C201" i="66" a="1"/>
  <c r="C201" i="66" s="1"/>
  <c r="G198" i="66"/>
  <c r="G198" i="66" a="1"/>
  <c r="C198" i="66" a="1"/>
  <c r="C198" i="66" s="1"/>
  <c r="G197" i="66"/>
  <c r="G197" i="66" a="1"/>
  <c r="C197" i="66" a="1"/>
  <c r="C197" i="66" s="1"/>
  <c r="G196" i="66" a="1"/>
  <c r="G196" i="66" s="1"/>
  <c r="C196" i="66" a="1"/>
  <c r="C196" i="66" s="1"/>
  <c r="G195" i="66" a="1"/>
  <c r="G195" i="66" s="1"/>
  <c r="C195" i="66" a="1"/>
  <c r="C195" i="66" s="1"/>
  <c r="G194" i="66"/>
  <c r="G194" i="66" a="1"/>
  <c r="C194" i="66" a="1"/>
  <c r="C194" i="66" s="1"/>
  <c r="G193" i="66"/>
  <c r="G193" i="66" a="1"/>
  <c r="C193" i="66" a="1"/>
  <c r="C193" i="66" s="1"/>
  <c r="G192" i="66" a="1"/>
  <c r="G192" i="66" s="1"/>
  <c r="C192" i="66" a="1"/>
  <c r="C192" i="66" s="1"/>
  <c r="G191" i="66" a="1"/>
  <c r="G191" i="66" s="1"/>
  <c r="C191" i="66" a="1"/>
  <c r="C191" i="66" s="1"/>
  <c r="G190" i="66" a="1"/>
  <c r="G190" i="66" s="1"/>
  <c r="C190" i="66" a="1"/>
  <c r="C190" i="66" s="1"/>
  <c r="G187" i="66" a="1"/>
  <c r="G187" i="66" s="1"/>
  <c r="C187" i="66" a="1"/>
  <c r="C187" i="66" s="1"/>
  <c r="G186" i="66" a="1"/>
  <c r="G186" i="66" s="1"/>
  <c r="C186" i="66" a="1"/>
  <c r="C186" i="66" s="1"/>
  <c r="G185" i="66" a="1"/>
  <c r="G185" i="66" s="1"/>
  <c r="C185" i="66" a="1"/>
  <c r="C185" i="66" s="1"/>
  <c r="G184" i="66" a="1"/>
  <c r="G184" i="66" s="1"/>
  <c r="C184" i="66"/>
  <c r="C184" i="66" a="1"/>
  <c r="G183" i="66" a="1"/>
  <c r="G183" i="66" s="1"/>
  <c r="C183" i="66" a="1"/>
  <c r="C183" i="66" s="1"/>
  <c r="G182" i="66" a="1"/>
  <c r="G182" i="66" s="1"/>
  <c r="C182" i="66" a="1"/>
  <c r="C182" i="66" s="1"/>
  <c r="G181" i="66" a="1"/>
  <c r="G181" i="66" s="1"/>
  <c r="C181" i="66" a="1"/>
  <c r="C181" i="66" s="1"/>
  <c r="G180" i="66" a="1"/>
  <c r="G180" i="66" s="1"/>
  <c r="C180" i="66"/>
  <c r="C180" i="66" a="1"/>
  <c r="G179" i="66" a="1"/>
  <c r="G179" i="66" s="1"/>
  <c r="C179" i="66" a="1"/>
  <c r="C179" i="66" s="1"/>
  <c r="G176" i="66" a="1"/>
  <c r="G176" i="66" s="1"/>
  <c r="C176" i="66" a="1"/>
  <c r="C176" i="66" s="1"/>
  <c r="G175" i="66" a="1"/>
  <c r="G175" i="66" s="1"/>
  <c r="C175" i="66" a="1"/>
  <c r="C175" i="66" s="1"/>
  <c r="G174" i="66"/>
  <c r="G174" i="66" a="1"/>
  <c r="C174" i="66" a="1"/>
  <c r="C174" i="66" s="1"/>
  <c r="G173" i="66" a="1"/>
  <c r="G173" i="66" s="1"/>
  <c r="C173" i="66" a="1"/>
  <c r="C173" i="66" s="1"/>
  <c r="G172" i="66" a="1"/>
  <c r="G172" i="66" s="1"/>
  <c r="C172" i="66" a="1"/>
  <c r="C172" i="66" s="1"/>
  <c r="G171" i="66" a="1"/>
  <c r="G171" i="66" s="1"/>
  <c r="C171" i="66" a="1"/>
  <c r="C171" i="66" s="1"/>
  <c r="G170" i="66"/>
  <c r="G170" i="66" a="1"/>
  <c r="C170" i="66" a="1"/>
  <c r="C170" i="66" s="1"/>
  <c r="G169" i="66" a="1"/>
  <c r="G169" i="66" s="1"/>
  <c r="C169" i="66" a="1"/>
  <c r="C169" i="66" s="1"/>
  <c r="G168" i="66" a="1"/>
  <c r="G168" i="66" s="1"/>
  <c r="C168" i="66" a="1"/>
  <c r="C168" i="66" s="1"/>
  <c r="G165" i="66" a="1"/>
  <c r="G165" i="66" s="1"/>
  <c r="C165" i="66"/>
  <c r="C165" i="66" a="1"/>
  <c r="G164" i="66" a="1"/>
  <c r="G164" i="66" s="1"/>
  <c r="C164" i="66" a="1"/>
  <c r="C164" i="66" s="1"/>
  <c r="G163" i="66" a="1"/>
  <c r="G163" i="66" s="1"/>
  <c r="C163" i="66" a="1"/>
  <c r="C163" i="66" s="1"/>
  <c r="G162" i="66" a="1"/>
  <c r="G162" i="66" s="1"/>
  <c r="C162" i="66" a="1"/>
  <c r="C162" i="66" s="1"/>
  <c r="G161" i="66" a="1"/>
  <c r="G161" i="66" s="1"/>
  <c r="C161" i="66"/>
  <c r="C161" i="66" a="1"/>
  <c r="G160" i="66" a="1"/>
  <c r="G160" i="66" s="1"/>
  <c r="C160" i="66" a="1"/>
  <c r="C160" i="66" s="1"/>
  <c r="G159" i="66" a="1"/>
  <c r="G159" i="66" s="1"/>
  <c r="C159" i="66" a="1"/>
  <c r="C159" i="66" s="1"/>
  <c r="G158" i="66" a="1"/>
  <c r="G158" i="66" s="1"/>
  <c r="C158" i="66" a="1"/>
  <c r="C158" i="66" s="1"/>
  <c r="G157" i="66" a="1"/>
  <c r="G157" i="66" s="1"/>
  <c r="C157" i="66"/>
  <c r="C157" i="66" a="1"/>
  <c r="G154" i="66" a="1"/>
  <c r="G154" i="66" s="1"/>
  <c r="C154" i="66" a="1"/>
  <c r="C154" i="66" s="1"/>
  <c r="G153" i="66" a="1"/>
  <c r="G153" i="66" s="1"/>
  <c r="C153" i="66" a="1"/>
  <c r="C153" i="66" s="1"/>
  <c r="G152" i="66" a="1"/>
  <c r="G152" i="66" s="1"/>
  <c r="C152" i="66" a="1"/>
  <c r="C152" i="66" s="1"/>
  <c r="G151" i="66"/>
  <c r="G151" i="66" a="1"/>
  <c r="C151" i="66" a="1"/>
  <c r="C151" i="66" s="1"/>
  <c r="G150" i="66" a="1"/>
  <c r="G150" i="66" s="1"/>
  <c r="C150" i="66" a="1"/>
  <c r="C150" i="66" s="1"/>
  <c r="G149" i="66" a="1"/>
  <c r="G149" i="66" s="1"/>
  <c r="C149" i="66" a="1"/>
  <c r="C149" i="66" s="1"/>
  <c r="G148" i="66" a="1"/>
  <c r="G148" i="66" s="1"/>
  <c r="C148" i="66" a="1"/>
  <c r="C148" i="66" s="1"/>
  <c r="G147" i="66"/>
  <c r="G147" i="66" a="1"/>
  <c r="C147" i="66" a="1"/>
  <c r="C147" i="66" s="1"/>
  <c r="G146" i="66" a="1"/>
  <c r="G146" i="66" s="1"/>
  <c r="C146" i="66" a="1"/>
  <c r="C146" i="66" s="1"/>
  <c r="G143" i="66" a="1"/>
  <c r="G143" i="66" s="1"/>
  <c r="C143" i="66" a="1"/>
  <c r="C143" i="66" s="1"/>
  <c r="G142" i="66" a="1"/>
  <c r="G142" i="66" s="1"/>
  <c r="C142" i="66"/>
  <c r="C142" i="66" a="1"/>
  <c r="G141" i="66" a="1"/>
  <c r="G141" i="66" s="1"/>
  <c r="C141" i="66" a="1"/>
  <c r="C141" i="66" s="1"/>
  <c r="G140" i="66" a="1"/>
  <c r="G140" i="66" s="1"/>
  <c r="C140" i="66" a="1"/>
  <c r="C140" i="66" s="1"/>
  <c r="G139" i="66" a="1"/>
  <c r="G139" i="66" s="1"/>
  <c r="C139" i="66" a="1"/>
  <c r="C139" i="66" s="1"/>
  <c r="G138" i="66" a="1"/>
  <c r="G138" i="66" s="1"/>
  <c r="C138" i="66"/>
  <c r="C138" i="66" a="1"/>
  <c r="G137" i="66" a="1"/>
  <c r="G137" i="66" s="1"/>
  <c r="C137" i="66" a="1"/>
  <c r="C137" i="66" s="1"/>
  <c r="G136" i="66" a="1"/>
  <c r="G136" i="66" s="1"/>
  <c r="C136" i="66" a="1"/>
  <c r="C136" i="66" s="1"/>
  <c r="G135" i="66"/>
  <c r="G144" i="66" s="1"/>
  <c r="G135" i="66" a="1"/>
  <c r="C135" i="66" a="1"/>
  <c r="C135" i="66" s="1"/>
  <c r="C133" i="66" a="1"/>
  <c r="C133" i="66" s="1"/>
  <c r="G132" i="66"/>
  <c r="G132" i="66" a="1"/>
  <c r="C132" i="66" a="1"/>
  <c r="C132" i="66" s="1"/>
  <c r="G131" i="66"/>
  <c r="G131" i="66" a="1"/>
  <c r="C131" i="66" a="1"/>
  <c r="C131" i="66" s="1"/>
  <c r="G130" i="66"/>
  <c r="G130" i="66" a="1"/>
  <c r="C130" i="66" a="1"/>
  <c r="C130" i="66" s="1"/>
  <c r="G129" i="66"/>
  <c r="G129" i="66" a="1"/>
  <c r="C129" i="66" a="1"/>
  <c r="C129" i="66" s="1"/>
  <c r="G128" i="66"/>
  <c r="G128" i="66" a="1"/>
  <c r="C128" i="66" a="1"/>
  <c r="C128" i="66" s="1"/>
  <c r="G127" i="66"/>
  <c r="G127" i="66" a="1"/>
  <c r="C127" i="66" a="1"/>
  <c r="C127" i="66" s="1"/>
  <c r="G126" i="66"/>
  <c r="G126" i="66" a="1"/>
  <c r="C126" i="66" a="1"/>
  <c r="C126" i="66" s="1"/>
  <c r="G125" i="66"/>
  <c r="G125" i="66" a="1"/>
  <c r="C125" i="66" a="1"/>
  <c r="C125" i="66" s="1"/>
  <c r="G124" i="66"/>
  <c r="G133" i="66" s="1"/>
  <c r="G124" i="66" a="1"/>
  <c r="C124" i="66" a="1"/>
  <c r="C124" i="66" s="1"/>
  <c r="G190" i="54" a="1"/>
  <c r="G190" i="54" s="1"/>
  <c r="G190" i="63" a="1"/>
  <c r="G190" i="63" s="1"/>
  <c r="G190" i="6" a="1"/>
  <c r="G190" i="6" s="1"/>
  <c r="G190" i="51" a="1"/>
  <c r="G190" i="51" s="1"/>
  <c r="G190" i="22" a="1"/>
  <c r="G190" i="22" s="1"/>
  <c r="C242" i="6" a="1"/>
  <c r="C242" i="6" s="1"/>
  <c r="C241" i="6" a="1"/>
  <c r="C241" i="6" s="1"/>
  <c r="C240" i="6" a="1"/>
  <c r="C240" i="6" s="1"/>
  <c r="C239" i="6" a="1"/>
  <c r="C239" i="6" s="1"/>
  <c r="C238" i="6" a="1"/>
  <c r="C238" i="6" s="1"/>
  <c r="C237" i="6" a="1"/>
  <c r="C237" i="6" s="1"/>
  <c r="C236" i="6" a="1"/>
  <c r="C236" i="6" s="1"/>
  <c r="C235" i="6" a="1"/>
  <c r="C235" i="6" s="1"/>
  <c r="C234" i="6" a="1"/>
  <c r="C234" i="6" s="1"/>
  <c r="G231" i="6" a="1"/>
  <c r="G231" i="6" s="1"/>
  <c r="C231" i="6" a="1"/>
  <c r="C231" i="6" s="1"/>
  <c r="G230" i="6" a="1"/>
  <c r="G230" i="6" s="1"/>
  <c r="C230" i="6"/>
  <c r="C230" i="6" a="1"/>
  <c r="G229" i="6" a="1"/>
  <c r="G229" i="6" s="1"/>
  <c r="C229" i="6" a="1"/>
  <c r="C229" i="6" s="1"/>
  <c r="G228" i="6" a="1"/>
  <c r="G228" i="6" s="1"/>
  <c r="C228" i="6" a="1"/>
  <c r="C228" i="6" s="1"/>
  <c r="G227" i="6" a="1"/>
  <c r="G227" i="6" s="1"/>
  <c r="C227" i="6" a="1"/>
  <c r="C227" i="6" s="1"/>
  <c r="G226" i="6" a="1"/>
  <c r="G226" i="6" s="1"/>
  <c r="C226" i="6" a="1"/>
  <c r="C226" i="6" s="1"/>
  <c r="G225" i="6" a="1"/>
  <c r="G225" i="6" s="1"/>
  <c r="C225" i="6" a="1"/>
  <c r="C225" i="6" s="1"/>
  <c r="G224" i="6" a="1"/>
  <c r="G224" i="6" s="1"/>
  <c r="C224" i="6" a="1"/>
  <c r="C224" i="6" s="1"/>
  <c r="G223" i="6" a="1"/>
  <c r="G223" i="6" s="1"/>
  <c r="C223" i="6" a="1"/>
  <c r="C223" i="6" s="1"/>
  <c r="G220" i="6" a="1"/>
  <c r="G220" i="6" s="1"/>
  <c r="C220" i="6" a="1"/>
  <c r="C220" i="6" s="1"/>
  <c r="G219" i="6" a="1"/>
  <c r="G219" i="6" s="1"/>
  <c r="C219" i="6" a="1"/>
  <c r="C219" i="6" s="1"/>
  <c r="G218" i="6" a="1"/>
  <c r="G218" i="6" s="1"/>
  <c r="C218" i="6" a="1"/>
  <c r="C218" i="6" s="1"/>
  <c r="G217" i="6" a="1"/>
  <c r="G217" i="6" s="1"/>
  <c r="C217" i="6" a="1"/>
  <c r="C217" i="6" s="1"/>
  <c r="G216" i="6" a="1"/>
  <c r="G216" i="6" s="1"/>
  <c r="C216" i="6" a="1"/>
  <c r="C216" i="6" s="1"/>
  <c r="G215" i="6" a="1"/>
  <c r="G215" i="6" s="1"/>
  <c r="C215" i="6" a="1"/>
  <c r="C215" i="6" s="1"/>
  <c r="G214" i="6" a="1"/>
  <c r="G214" i="6" s="1"/>
  <c r="C214" i="6" a="1"/>
  <c r="C214" i="6" s="1"/>
  <c r="G213" i="6" a="1"/>
  <c r="G213" i="6" s="1"/>
  <c r="C213" i="6" a="1"/>
  <c r="C213" i="6" s="1"/>
  <c r="G212" i="6" a="1"/>
  <c r="G212" i="6" s="1"/>
  <c r="C212" i="6"/>
  <c r="C212" i="6" a="1"/>
  <c r="G209" i="6" a="1"/>
  <c r="G209" i="6" s="1"/>
  <c r="C209" i="6" a="1"/>
  <c r="C209" i="6" s="1"/>
  <c r="G208" i="6" a="1"/>
  <c r="G208" i="6" s="1"/>
  <c r="C208" i="6" a="1"/>
  <c r="C208" i="6" s="1"/>
  <c r="G207" i="6" a="1"/>
  <c r="G207" i="6" s="1"/>
  <c r="C207" i="6" a="1"/>
  <c r="C207" i="6" s="1"/>
  <c r="G206" i="6" a="1"/>
  <c r="G206" i="6" s="1"/>
  <c r="C206" i="6" a="1"/>
  <c r="C206" i="6" s="1"/>
  <c r="G205" i="6" a="1"/>
  <c r="G205" i="6" s="1"/>
  <c r="C205" i="6" a="1"/>
  <c r="C205" i="6" s="1"/>
  <c r="G204" i="6" a="1"/>
  <c r="G204" i="6" s="1"/>
  <c r="C204" i="6" a="1"/>
  <c r="C204" i="6" s="1"/>
  <c r="G203" i="6" a="1"/>
  <c r="G203" i="6" s="1"/>
  <c r="C203" i="6" a="1"/>
  <c r="C203" i="6" s="1"/>
  <c r="G202" i="6" a="1"/>
  <c r="G202" i="6" s="1"/>
  <c r="C202" i="6" a="1"/>
  <c r="C202" i="6" s="1"/>
  <c r="G201" i="6" a="1"/>
  <c r="G201" i="6" s="1"/>
  <c r="C201" i="6" a="1"/>
  <c r="C201" i="6" s="1"/>
  <c r="G198" i="6" a="1"/>
  <c r="G198" i="6" s="1"/>
  <c r="C198" i="6" a="1"/>
  <c r="C198" i="6" s="1"/>
  <c r="G197" i="6" a="1"/>
  <c r="G197" i="6" s="1"/>
  <c r="C197" i="6" a="1"/>
  <c r="C197" i="6" s="1"/>
  <c r="G196" i="6" a="1"/>
  <c r="G196" i="6" s="1"/>
  <c r="C196" i="6" a="1"/>
  <c r="C196" i="6" s="1"/>
  <c r="G195" i="6" a="1"/>
  <c r="G195" i="6" s="1"/>
  <c r="C195" i="6" a="1"/>
  <c r="C195" i="6" s="1"/>
  <c r="G194" i="6" a="1"/>
  <c r="G194" i="6" s="1"/>
  <c r="C194" i="6" a="1"/>
  <c r="C194" i="6" s="1"/>
  <c r="G193" i="6" a="1"/>
  <c r="G193" i="6" s="1"/>
  <c r="C193" i="6" a="1"/>
  <c r="C193" i="6" s="1"/>
  <c r="G192" i="6" a="1"/>
  <c r="G192" i="6" s="1"/>
  <c r="C192" i="6" a="1"/>
  <c r="C192" i="6" s="1"/>
  <c r="G191" i="6" a="1"/>
  <c r="G191" i="6" s="1"/>
  <c r="C191" i="6" a="1"/>
  <c r="C191" i="6" s="1"/>
  <c r="C190" i="6" a="1"/>
  <c r="C190" i="6" s="1"/>
  <c r="G187" i="6" a="1"/>
  <c r="G187" i="6" s="1"/>
  <c r="C187" i="6" a="1"/>
  <c r="C187" i="6" s="1"/>
  <c r="G186" i="6" a="1"/>
  <c r="G186" i="6" s="1"/>
  <c r="C186" i="6" a="1"/>
  <c r="C186" i="6" s="1"/>
  <c r="G185" i="6" a="1"/>
  <c r="G185" i="6" s="1"/>
  <c r="C185" i="6" a="1"/>
  <c r="C185" i="6" s="1"/>
  <c r="G184" i="6" a="1"/>
  <c r="G184" i="6" s="1"/>
  <c r="C184" i="6" a="1"/>
  <c r="C184" i="6" s="1"/>
  <c r="G183" i="6" a="1"/>
  <c r="G183" i="6" s="1"/>
  <c r="C183" i="6" a="1"/>
  <c r="C183" i="6" s="1"/>
  <c r="G182" i="6" a="1"/>
  <c r="G182" i="6" s="1"/>
  <c r="C182" i="6" a="1"/>
  <c r="C182" i="6" s="1"/>
  <c r="G181" i="6" a="1"/>
  <c r="G181" i="6" s="1"/>
  <c r="C181" i="6" a="1"/>
  <c r="C181" i="6" s="1"/>
  <c r="G180" i="6" a="1"/>
  <c r="G180" i="6" s="1"/>
  <c r="C180" i="6" a="1"/>
  <c r="C180" i="6" s="1"/>
  <c r="G179" i="6" a="1"/>
  <c r="G179" i="6" s="1"/>
  <c r="C179" i="6" a="1"/>
  <c r="C179" i="6" s="1"/>
  <c r="G176" i="6" a="1"/>
  <c r="G176" i="6" s="1"/>
  <c r="C176" i="6" a="1"/>
  <c r="C176" i="6" s="1"/>
  <c r="G175" i="6" a="1"/>
  <c r="G175" i="6" s="1"/>
  <c r="C175" i="6" a="1"/>
  <c r="C175" i="6" s="1"/>
  <c r="G174" i="6" a="1"/>
  <c r="G174" i="6" s="1"/>
  <c r="C174" i="6" a="1"/>
  <c r="C174" i="6" s="1"/>
  <c r="G173" i="6" a="1"/>
  <c r="G173" i="6" s="1"/>
  <c r="C173" i="6" a="1"/>
  <c r="C173" i="6" s="1"/>
  <c r="G172" i="6" a="1"/>
  <c r="G172" i="6" s="1"/>
  <c r="C172" i="6" a="1"/>
  <c r="C172" i="6" s="1"/>
  <c r="G171" i="6" a="1"/>
  <c r="G171" i="6" s="1"/>
  <c r="C171" i="6" a="1"/>
  <c r="C171" i="6" s="1"/>
  <c r="G170" i="6" a="1"/>
  <c r="G170" i="6" s="1"/>
  <c r="C170" i="6" a="1"/>
  <c r="C170" i="6" s="1"/>
  <c r="G169" i="6" a="1"/>
  <c r="G169" i="6" s="1"/>
  <c r="C169" i="6" a="1"/>
  <c r="C169" i="6" s="1"/>
  <c r="G168" i="6" a="1"/>
  <c r="G168" i="6" s="1"/>
  <c r="C168" i="6" a="1"/>
  <c r="C168" i="6" s="1"/>
  <c r="G165" i="6" a="1"/>
  <c r="G165" i="6" s="1"/>
  <c r="C165" i="6" a="1"/>
  <c r="C165" i="6" s="1"/>
  <c r="G164" i="6" a="1"/>
  <c r="G164" i="6" s="1"/>
  <c r="C164" i="6" a="1"/>
  <c r="C164" i="6" s="1"/>
  <c r="G163" i="6" a="1"/>
  <c r="G163" i="6" s="1"/>
  <c r="C163" i="6" a="1"/>
  <c r="C163" i="6" s="1"/>
  <c r="G162" i="6" a="1"/>
  <c r="G162" i="6" s="1"/>
  <c r="C162" i="6" a="1"/>
  <c r="C162" i="6" s="1"/>
  <c r="G161" i="6" a="1"/>
  <c r="G161" i="6" s="1"/>
  <c r="C161" i="6" a="1"/>
  <c r="C161" i="6" s="1"/>
  <c r="G160" i="6" a="1"/>
  <c r="G160" i="6" s="1"/>
  <c r="C160" i="6" a="1"/>
  <c r="C160" i="6" s="1"/>
  <c r="G159" i="6" a="1"/>
  <c r="G159" i="6" s="1"/>
  <c r="C159" i="6" a="1"/>
  <c r="C159" i="6" s="1"/>
  <c r="G158" i="6" a="1"/>
  <c r="G158" i="6" s="1"/>
  <c r="C158" i="6" a="1"/>
  <c r="C158" i="6" s="1"/>
  <c r="G157" i="6" a="1"/>
  <c r="G157" i="6" s="1"/>
  <c r="C157" i="6" a="1"/>
  <c r="C157" i="6" s="1"/>
  <c r="G154" i="6" a="1"/>
  <c r="G154" i="6" s="1"/>
  <c r="C154" i="6" a="1"/>
  <c r="C154" i="6" s="1"/>
  <c r="G153" i="6" a="1"/>
  <c r="G153" i="6" s="1"/>
  <c r="C153" i="6" a="1"/>
  <c r="C153" i="6" s="1"/>
  <c r="G152" i="6" a="1"/>
  <c r="G152" i="6" s="1"/>
  <c r="C152" i="6" a="1"/>
  <c r="C152" i="6" s="1"/>
  <c r="G151" i="6" a="1"/>
  <c r="G151" i="6" s="1"/>
  <c r="C151" i="6" a="1"/>
  <c r="C151" i="6" s="1"/>
  <c r="G150" i="6" a="1"/>
  <c r="G150" i="6" s="1"/>
  <c r="C150" i="6" a="1"/>
  <c r="C150" i="6" s="1"/>
  <c r="G149" i="6" a="1"/>
  <c r="G149" i="6" s="1"/>
  <c r="C149" i="6" a="1"/>
  <c r="C149" i="6" s="1"/>
  <c r="G148" i="6" a="1"/>
  <c r="G148" i="6" s="1"/>
  <c r="C148" i="6" a="1"/>
  <c r="C148" i="6" s="1"/>
  <c r="G147" i="6" a="1"/>
  <c r="G147" i="6" s="1"/>
  <c r="C147" i="6" a="1"/>
  <c r="C147" i="6" s="1"/>
  <c r="G146" i="6" a="1"/>
  <c r="G146" i="6" s="1"/>
  <c r="C146" i="6" a="1"/>
  <c r="C146" i="6" s="1"/>
  <c r="G143" i="6" a="1"/>
  <c r="G143" i="6" s="1"/>
  <c r="C143" i="6" a="1"/>
  <c r="C143" i="6" s="1"/>
  <c r="G142" i="6" a="1"/>
  <c r="G142" i="6" s="1"/>
  <c r="C142" i="6" a="1"/>
  <c r="C142" i="6" s="1"/>
  <c r="G141" i="6" a="1"/>
  <c r="G141" i="6" s="1"/>
  <c r="C141" i="6" a="1"/>
  <c r="C141" i="6" s="1"/>
  <c r="G140" i="6" a="1"/>
  <c r="G140" i="6" s="1"/>
  <c r="C140" i="6" a="1"/>
  <c r="C140" i="6" s="1"/>
  <c r="G139" i="6" a="1"/>
  <c r="G139" i="6" s="1"/>
  <c r="C139" i="6" a="1"/>
  <c r="C139" i="6" s="1"/>
  <c r="G138" i="6" a="1"/>
  <c r="G138" i="6" s="1"/>
  <c r="C138" i="6" a="1"/>
  <c r="C138" i="6" s="1"/>
  <c r="G137" i="6" a="1"/>
  <c r="G137" i="6" s="1"/>
  <c r="C137" i="6" a="1"/>
  <c r="C137" i="6" s="1"/>
  <c r="G136" i="6" a="1"/>
  <c r="G136" i="6" s="1"/>
  <c r="C136" i="6" a="1"/>
  <c r="C136" i="6" s="1"/>
  <c r="G135" i="6" a="1"/>
  <c r="G135" i="6" s="1"/>
  <c r="C135" i="6" a="1"/>
  <c r="C135" i="6" s="1"/>
  <c r="C133" i="6" a="1"/>
  <c r="C133" i="6" s="1"/>
  <c r="G132" i="6" a="1"/>
  <c r="G132" i="6" s="1"/>
  <c r="C132" i="6" a="1"/>
  <c r="C132" i="6" s="1"/>
  <c r="G131" i="6" a="1"/>
  <c r="G131" i="6" s="1"/>
  <c r="C131" i="6" a="1"/>
  <c r="C131" i="6" s="1"/>
  <c r="G130" i="6" a="1"/>
  <c r="G130" i="6" s="1"/>
  <c r="C130" i="6" a="1"/>
  <c r="C130" i="6" s="1"/>
  <c r="G129" i="6" a="1"/>
  <c r="G129" i="6" s="1"/>
  <c r="C129" i="6" a="1"/>
  <c r="C129" i="6" s="1"/>
  <c r="G128" i="6" a="1"/>
  <c r="G128" i="6" s="1"/>
  <c r="C128" i="6" a="1"/>
  <c r="C128" i="6" s="1"/>
  <c r="G127" i="6" a="1"/>
  <c r="G127" i="6" s="1"/>
  <c r="C127" i="6" a="1"/>
  <c r="C127" i="6" s="1"/>
  <c r="G126" i="6" a="1"/>
  <c r="G126" i="6" s="1"/>
  <c r="C126" i="6" a="1"/>
  <c r="C126" i="6" s="1"/>
  <c r="G125" i="6" a="1"/>
  <c r="G125" i="6" s="1"/>
  <c r="C125" i="6" a="1"/>
  <c r="C125" i="6" s="1"/>
  <c r="G124" i="6" a="1"/>
  <c r="G124" i="6" s="1"/>
  <c r="C124" i="6" a="1"/>
  <c r="C124" i="6" s="1"/>
  <c r="G231" i="54" a="1"/>
  <c r="G231" i="54" s="1"/>
  <c r="G231" i="63" a="1"/>
  <c r="G231" i="63" s="1"/>
  <c r="G231" i="51" a="1"/>
  <c r="G231" i="51" s="1"/>
  <c r="G231" i="22" a="1"/>
  <c r="G231" i="22"/>
  <c r="G230" i="54" a="1"/>
  <c r="G230" i="54" s="1"/>
  <c r="G230" i="63" a="1"/>
  <c r="G230" i="63" s="1"/>
  <c r="G230" i="51" a="1"/>
  <c r="G230" i="51" s="1"/>
  <c r="G230" i="22" a="1"/>
  <c r="G230" i="22" s="1"/>
  <c r="G229" i="54" a="1"/>
  <c r="G229" i="54"/>
  <c r="G229" i="63" a="1"/>
  <c r="G229" i="63" s="1"/>
  <c r="G229" i="51" a="1"/>
  <c r="G229" i="51" s="1"/>
  <c r="G229" i="22" a="1"/>
  <c r="G229" i="22" s="1"/>
  <c r="G228" i="54" a="1"/>
  <c r="G228" i="54"/>
  <c r="G228" i="63" a="1"/>
  <c r="G228" i="63" s="1"/>
  <c r="G228" i="51" a="1"/>
  <c r="G228" i="51" s="1"/>
  <c r="G228" i="22" a="1"/>
  <c r="G228" i="22" s="1"/>
  <c r="G227" i="54" a="1"/>
  <c r="G227" i="54" s="1"/>
  <c r="G227" i="63" a="1"/>
  <c r="G227" i="63" s="1"/>
  <c r="G227" i="51" a="1"/>
  <c r="G227" i="51" s="1"/>
  <c r="G227" i="22" a="1"/>
  <c r="G227" i="22" s="1"/>
  <c r="G226" i="54" a="1"/>
  <c r="G226" i="54" s="1"/>
  <c r="G226" i="63" a="1"/>
  <c r="G226" i="63" s="1"/>
  <c r="G226" i="51" a="1"/>
  <c r="G226" i="51" s="1"/>
  <c r="G226" i="22" a="1"/>
  <c r="G226" i="22" s="1"/>
  <c r="G225" i="54" a="1"/>
  <c r="G225" i="54" s="1"/>
  <c r="G225" i="63" a="1"/>
  <c r="G225" i="63" s="1"/>
  <c r="G225" i="51" a="1"/>
  <c r="G225" i="51" s="1"/>
  <c r="G225" i="22" a="1"/>
  <c r="G225" i="22" s="1"/>
  <c r="G224" i="54" a="1"/>
  <c r="G224" i="54" s="1"/>
  <c r="G224" i="63" a="1"/>
  <c r="G224" i="63" s="1"/>
  <c r="G224" i="51" a="1"/>
  <c r="G224" i="51" s="1"/>
  <c r="G224" i="22" a="1"/>
  <c r="G224" i="22" s="1"/>
  <c r="G220" i="54" a="1"/>
  <c r="G220" i="54" s="1"/>
  <c r="G220" i="63" a="1"/>
  <c r="G220" i="63" s="1"/>
  <c r="G220" i="51" a="1"/>
  <c r="G220" i="51" s="1"/>
  <c r="G220" i="22" a="1"/>
  <c r="G220" i="22" s="1"/>
  <c r="G219" i="54" a="1"/>
  <c r="G219" i="54" s="1"/>
  <c r="G219" i="63" a="1"/>
  <c r="G219" i="63" s="1"/>
  <c r="G219" i="51" a="1"/>
  <c r="G219" i="51" s="1"/>
  <c r="G219" i="22" a="1"/>
  <c r="G219" i="22" s="1"/>
  <c r="G218" i="54" a="1"/>
  <c r="G218" i="54" s="1"/>
  <c r="G218" i="63" a="1"/>
  <c r="G218" i="63" s="1"/>
  <c r="G218" i="51" a="1"/>
  <c r="G218" i="51" s="1"/>
  <c r="G218" i="22" a="1"/>
  <c r="G218" i="22" s="1"/>
  <c r="G217" i="54" a="1"/>
  <c r="G217" i="54" s="1"/>
  <c r="G217" i="63" a="1"/>
  <c r="G217" i="63" s="1"/>
  <c r="G217" i="51" a="1"/>
  <c r="G217" i="51" s="1"/>
  <c r="G217" i="22" a="1"/>
  <c r="G217" i="22" s="1"/>
  <c r="G216" i="54" a="1"/>
  <c r="G216" i="54" s="1"/>
  <c r="G216" i="63" a="1"/>
  <c r="G216" i="63" s="1"/>
  <c r="G216" i="51" a="1"/>
  <c r="G216" i="51" s="1"/>
  <c r="G216" i="22" a="1"/>
  <c r="G216" i="22" s="1"/>
  <c r="G215" i="54" a="1"/>
  <c r="G215" i="54"/>
  <c r="G215" i="63" a="1"/>
  <c r="G215" i="63" s="1"/>
  <c r="G215" i="51" a="1"/>
  <c r="G215" i="51" s="1"/>
  <c r="G215" i="22" a="1"/>
  <c r="G215" i="22" s="1"/>
  <c r="G214" i="54" a="1"/>
  <c r="G214" i="54" s="1"/>
  <c r="G214" i="63" a="1"/>
  <c r="G214" i="63" s="1"/>
  <c r="G214" i="51" a="1"/>
  <c r="G214" i="51" s="1"/>
  <c r="G214" i="22" a="1"/>
  <c r="G214" i="22" s="1"/>
  <c r="G213" i="54" a="1"/>
  <c r="G213" i="54" s="1"/>
  <c r="G213" i="63" a="1"/>
  <c r="G213" i="63" s="1"/>
  <c r="G213" i="51" a="1"/>
  <c r="G213" i="51" s="1"/>
  <c r="G213" i="22" a="1"/>
  <c r="G213" i="22" s="1"/>
  <c r="G209" i="54" a="1"/>
  <c r="G209" i="54"/>
  <c r="G209" i="63" a="1"/>
  <c r="G209" i="63" s="1"/>
  <c r="G209" i="51" a="1"/>
  <c r="G209" i="51" s="1"/>
  <c r="G209" i="22" a="1"/>
  <c r="G209" i="22" s="1"/>
  <c r="G208" i="54" a="1"/>
  <c r="G208" i="54" s="1"/>
  <c r="G208" i="63" a="1"/>
  <c r="G208" i="63" s="1"/>
  <c r="G208" i="51" a="1"/>
  <c r="G208" i="51" s="1"/>
  <c r="G208" i="22" a="1"/>
  <c r="G208" i="22" s="1"/>
  <c r="G207" i="54" a="1"/>
  <c r="G207" i="54" s="1"/>
  <c r="G207" i="63" a="1"/>
  <c r="G207" i="63" s="1"/>
  <c r="G207" i="51" a="1"/>
  <c r="G207" i="51" s="1"/>
  <c r="G207" i="22" a="1"/>
  <c r="G207" i="22" s="1"/>
  <c r="G206" i="54" a="1"/>
  <c r="G206" i="54" s="1"/>
  <c r="G206" i="63" a="1"/>
  <c r="G206" i="63" s="1"/>
  <c r="G206" i="51" a="1"/>
  <c r="G206" i="51" s="1"/>
  <c r="G206" i="22" a="1"/>
  <c r="G206" i="22" s="1"/>
  <c r="G205" i="54" a="1"/>
  <c r="G205" i="54" s="1"/>
  <c r="G205" i="63" a="1"/>
  <c r="G205" i="63" s="1"/>
  <c r="G205" i="51" a="1"/>
  <c r="G205" i="51" s="1"/>
  <c r="G205" i="22" a="1"/>
  <c r="G205" i="22" s="1"/>
  <c r="G204" i="54" a="1"/>
  <c r="G204" i="54" s="1"/>
  <c r="G204" i="63" a="1"/>
  <c r="G204" i="63" s="1"/>
  <c r="G204" i="51" a="1"/>
  <c r="G204" i="51" s="1"/>
  <c r="G204" i="22" a="1"/>
  <c r="G204" i="22" s="1"/>
  <c r="G203" i="54" a="1"/>
  <c r="G203" i="54" s="1"/>
  <c r="G203" i="63" a="1"/>
  <c r="G203" i="63" s="1"/>
  <c r="G203" i="51" a="1"/>
  <c r="G203" i="51" s="1"/>
  <c r="G203" i="22" a="1"/>
  <c r="G203" i="22" s="1"/>
  <c r="G202" i="54" a="1"/>
  <c r="G202" i="54" s="1"/>
  <c r="G202" i="63" a="1"/>
  <c r="G202" i="63" s="1"/>
  <c r="G202" i="51" a="1"/>
  <c r="G202" i="51" s="1"/>
  <c r="G202" i="22" a="1"/>
  <c r="G202" i="22" s="1"/>
  <c r="G198" i="54" a="1"/>
  <c r="G198" i="54"/>
  <c r="G198" i="63" a="1"/>
  <c r="G198" i="63" s="1"/>
  <c r="G198" i="51" a="1"/>
  <c r="G198" i="51" s="1"/>
  <c r="G198" i="22" a="1"/>
  <c r="G198" i="22" s="1"/>
  <c r="G197" i="54" a="1"/>
  <c r="G197" i="54" s="1"/>
  <c r="G197" i="63" a="1"/>
  <c r="G197" i="63"/>
  <c r="G197" i="51" a="1"/>
  <c r="G197" i="51" s="1"/>
  <c r="G197" i="22" a="1"/>
  <c r="G197" i="22" s="1"/>
  <c r="G196" i="54" a="1"/>
  <c r="G196" i="54" s="1"/>
  <c r="G196" i="63" a="1"/>
  <c r="G196" i="63" s="1"/>
  <c r="G196" i="51" a="1"/>
  <c r="G196" i="51" s="1"/>
  <c r="G196" i="22" a="1"/>
  <c r="G196" i="22" s="1"/>
  <c r="G195" i="54" a="1"/>
  <c r="G195" i="54" s="1"/>
  <c r="G195" i="63" a="1"/>
  <c r="G195" i="63" s="1"/>
  <c r="G195" i="51" a="1"/>
  <c r="G195" i="51" s="1"/>
  <c r="G195" i="22" a="1"/>
  <c r="G195" i="22" s="1"/>
  <c r="G194" i="54" a="1"/>
  <c r="G194" i="54" s="1"/>
  <c r="G194" i="63" a="1"/>
  <c r="G194" i="63" s="1"/>
  <c r="G194" i="51" a="1"/>
  <c r="G194" i="51" s="1"/>
  <c r="G194" i="22" a="1"/>
  <c r="G194" i="22" s="1"/>
  <c r="G193" i="54" a="1"/>
  <c r="G193" i="54"/>
  <c r="G193" i="63" a="1"/>
  <c r="G193" i="63" s="1"/>
  <c r="G193" i="51" a="1"/>
  <c r="G193" i="51" s="1"/>
  <c r="G193" i="22" a="1"/>
  <c r="G193" i="22"/>
  <c r="G192" i="54" a="1"/>
  <c r="G192" i="54" s="1"/>
  <c r="G192" i="63" a="1"/>
  <c r="G192" i="63" s="1"/>
  <c r="G192" i="51" a="1"/>
  <c r="G192" i="51" s="1"/>
  <c r="G192" i="22" a="1"/>
  <c r="G192" i="22" s="1"/>
  <c r="G191" i="54" a="1"/>
  <c r="G191" i="54"/>
  <c r="G191" i="63" a="1"/>
  <c r="G191" i="63" s="1"/>
  <c r="G191" i="51" a="1"/>
  <c r="G191" i="51" s="1"/>
  <c r="G191" i="22" a="1"/>
  <c r="G191" i="22" s="1"/>
  <c r="G187" i="54" a="1"/>
  <c r="G187" i="54" s="1"/>
  <c r="G187" i="63" a="1"/>
  <c r="G187" i="63" s="1"/>
  <c r="G187" i="51" a="1"/>
  <c r="G187" i="51" s="1"/>
  <c r="G187" i="22" a="1"/>
  <c r="G187" i="22" s="1"/>
  <c r="G186" i="54" a="1"/>
  <c r="G186" i="54"/>
  <c r="G186" i="63" a="1"/>
  <c r="G186" i="63" s="1"/>
  <c r="G186" i="51" a="1"/>
  <c r="G186" i="51" s="1"/>
  <c r="G186" i="22" a="1"/>
  <c r="G186" i="22" s="1"/>
  <c r="G185" i="54" a="1"/>
  <c r="G185" i="54" s="1"/>
  <c r="G185" i="63" a="1"/>
  <c r="G185" i="63" s="1"/>
  <c r="G185" i="51" a="1"/>
  <c r="G185" i="51" s="1"/>
  <c r="G185" i="22" a="1"/>
  <c r="G185" i="22"/>
  <c r="G184" i="54" a="1"/>
  <c r="G184" i="54" s="1"/>
  <c r="G184" i="63" a="1"/>
  <c r="G184" i="63" s="1"/>
  <c r="G184" i="51" a="1"/>
  <c r="G184" i="51" s="1"/>
  <c r="G184" i="22" a="1"/>
  <c r="G184" i="22" s="1"/>
  <c r="G183" i="54" a="1"/>
  <c r="G183" i="54" s="1"/>
  <c r="G183" i="63" a="1"/>
  <c r="G183" i="63" s="1"/>
  <c r="G183" i="51" a="1"/>
  <c r="G183" i="51" s="1"/>
  <c r="G183" i="22" a="1"/>
  <c r="G183" i="22" s="1"/>
  <c r="G182" i="54" a="1"/>
  <c r="G182" i="54" s="1"/>
  <c r="G182" i="63" a="1"/>
  <c r="G182" i="63" s="1"/>
  <c r="G182" i="51" a="1"/>
  <c r="G182" i="51" s="1"/>
  <c r="G182" i="22" a="1"/>
  <c r="G182" i="22"/>
  <c r="G181" i="54" a="1"/>
  <c r="G181" i="54" s="1"/>
  <c r="G181" i="63" a="1"/>
  <c r="G181" i="63" s="1"/>
  <c r="G181" i="51" a="1"/>
  <c r="G181" i="51" s="1"/>
  <c r="G181" i="22" a="1"/>
  <c r="G181" i="22" s="1"/>
  <c r="G180" i="54" a="1"/>
  <c r="G180" i="54" s="1"/>
  <c r="G180" i="63" a="1"/>
  <c r="G180" i="63" s="1"/>
  <c r="G180" i="51" a="1"/>
  <c r="G180" i="51" s="1"/>
  <c r="G180" i="22" a="1"/>
  <c r="G180" i="22" s="1"/>
  <c r="G179" i="54" a="1"/>
  <c r="G179" i="54"/>
  <c r="G179" i="63" a="1"/>
  <c r="G179" i="63" s="1"/>
  <c r="G179" i="51" a="1"/>
  <c r="G179" i="51" s="1"/>
  <c r="G179" i="22" a="1"/>
  <c r="G179" i="22" s="1"/>
  <c r="G176" i="54" a="1"/>
  <c r="G176" i="54" s="1"/>
  <c r="G176" i="63" a="1"/>
  <c r="G176" i="63" s="1"/>
  <c r="G176" i="51" a="1"/>
  <c r="G176" i="51" s="1"/>
  <c r="G176" i="22" a="1"/>
  <c r="G176" i="22" s="1"/>
  <c r="G175" i="54" a="1"/>
  <c r="G175" i="54" s="1"/>
  <c r="G175" i="63" a="1"/>
  <c r="G175" i="63" s="1"/>
  <c r="G175" i="51" a="1"/>
  <c r="G175" i="51" s="1"/>
  <c r="G175" i="22" a="1"/>
  <c r="G175" i="22" s="1"/>
  <c r="G174" i="54" a="1"/>
  <c r="G174" i="54"/>
  <c r="G174" i="63" a="1"/>
  <c r="G174" i="63" s="1"/>
  <c r="G174" i="51" a="1"/>
  <c r="G174" i="51" s="1"/>
  <c r="G174" i="22" a="1"/>
  <c r="G174" i="22" s="1"/>
  <c r="G173" i="54" a="1"/>
  <c r="G173" i="54"/>
  <c r="G173" i="63" a="1"/>
  <c r="G173" i="63" s="1"/>
  <c r="G173" i="51" a="1"/>
  <c r="G173" i="51" s="1"/>
  <c r="G173" i="22" a="1"/>
  <c r="G173" i="22"/>
  <c r="G172" i="54" a="1"/>
  <c r="G172" i="54"/>
  <c r="G172" i="63" a="1"/>
  <c r="G172" i="63" s="1"/>
  <c r="G172" i="51" a="1"/>
  <c r="G172" i="51" s="1"/>
  <c r="G172" i="22" a="1"/>
  <c r="G172" i="22" s="1"/>
  <c r="G171" i="54" a="1"/>
  <c r="G171" i="54" s="1"/>
  <c r="G171" i="63" a="1"/>
  <c r="G171" i="63" s="1"/>
  <c r="G171" i="51" a="1"/>
  <c r="G171" i="51" s="1"/>
  <c r="G171" i="22" a="1"/>
  <c r="G171" i="22" s="1"/>
  <c r="G170" i="54" a="1"/>
  <c r="G170" i="54" s="1"/>
  <c r="G170" i="63" a="1"/>
  <c r="G170" i="63" s="1"/>
  <c r="G170" i="51" a="1"/>
  <c r="G170" i="51" s="1"/>
  <c r="G170" i="22" a="1"/>
  <c r="G170" i="22" s="1"/>
  <c r="G169" i="54" a="1"/>
  <c r="G169" i="54"/>
  <c r="G169" i="63" a="1"/>
  <c r="G169" i="63" s="1"/>
  <c r="G169" i="51" a="1"/>
  <c r="G169" i="51" s="1"/>
  <c r="G169" i="22" a="1"/>
  <c r="G169" i="22" s="1"/>
  <c r="G165" i="54" a="1"/>
  <c r="G165" i="54" s="1"/>
  <c r="G165" i="63" a="1"/>
  <c r="G165" i="63" s="1"/>
  <c r="G165" i="51" a="1"/>
  <c r="G165" i="51" s="1"/>
  <c r="G165" i="22" a="1"/>
  <c r="G165" i="22" s="1"/>
  <c r="G164" i="54" a="1"/>
  <c r="G164" i="54"/>
  <c r="G164" i="63" a="1"/>
  <c r="G164" i="63" s="1"/>
  <c r="G164" i="51" a="1"/>
  <c r="G164" i="51" s="1"/>
  <c r="G164" i="22" a="1"/>
  <c r="G164" i="22" s="1"/>
  <c r="G163" i="54" a="1"/>
  <c r="G163" i="54" s="1"/>
  <c r="G163" i="63" a="1"/>
  <c r="G163" i="63" s="1"/>
  <c r="G163" i="51" a="1"/>
  <c r="G163" i="51" s="1"/>
  <c r="G163" i="22" a="1"/>
  <c r="G163" i="22" s="1"/>
  <c r="G162" i="54" a="1"/>
  <c r="G162" i="54" s="1"/>
  <c r="G162" i="63" a="1"/>
  <c r="G162" i="63" s="1"/>
  <c r="G162" i="51" a="1"/>
  <c r="G162" i="51" s="1"/>
  <c r="G162" i="22" a="1"/>
  <c r="G162" i="22" s="1"/>
  <c r="G161" i="54" a="1"/>
  <c r="G161" i="54" s="1"/>
  <c r="G161" i="63" a="1"/>
  <c r="G161" i="63" s="1"/>
  <c r="G161" i="51" a="1"/>
  <c r="G161" i="51" s="1"/>
  <c r="G161" i="22" a="1"/>
  <c r="G161" i="22" s="1"/>
  <c r="G160" i="54" a="1"/>
  <c r="G160" i="54" s="1"/>
  <c r="G160" i="63" a="1"/>
  <c r="G160" i="63" s="1"/>
  <c r="G160" i="51" a="1"/>
  <c r="G160" i="51" s="1"/>
  <c r="G160" i="22" a="1"/>
  <c r="G160" i="22" s="1"/>
  <c r="G159" i="54" a="1"/>
  <c r="G159" i="54"/>
  <c r="G159" i="63" a="1"/>
  <c r="G159" i="63" s="1"/>
  <c r="G159" i="51" a="1"/>
  <c r="G159" i="51" s="1"/>
  <c r="G159" i="22" a="1"/>
  <c r="G159" i="22"/>
  <c r="G158" i="54" a="1"/>
  <c r="G158" i="54" s="1"/>
  <c r="G158" i="63" a="1"/>
  <c r="G158" i="63" s="1"/>
  <c r="G158" i="51" a="1"/>
  <c r="G158" i="51" s="1"/>
  <c r="G158" i="22" a="1"/>
  <c r="G158" i="22" s="1"/>
  <c r="G154" i="54" a="1"/>
  <c r="G154" i="54"/>
  <c r="G154" i="63" a="1"/>
  <c r="G154" i="63" s="1"/>
  <c r="G154" i="51" a="1"/>
  <c r="G154" i="51" s="1"/>
  <c r="G154" i="22" a="1"/>
  <c r="G154" i="22"/>
  <c r="G153" i="54" a="1"/>
  <c r="G153" i="54" s="1"/>
  <c r="G153" i="63" a="1"/>
  <c r="G153" i="63" s="1"/>
  <c r="G153" i="51" a="1"/>
  <c r="G153" i="51" s="1"/>
  <c r="G153" i="22" a="1"/>
  <c r="G153" i="22" s="1"/>
  <c r="G152" i="54" a="1"/>
  <c r="G152" i="54" s="1"/>
  <c r="G152" i="63" a="1"/>
  <c r="G152" i="63" s="1"/>
  <c r="G152" i="51" a="1"/>
  <c r="G152" i="51" s="1"/>
  <c r="G152" i="22" a="1"/>
  <c r="G152" i="22" s="1"/>
  <c r="G151" i="54" a="1"/>
  <c r="G151" i="54" s="1"/>
  <c r="G151" i="63" a="1"/>
  <c r="G151" i="63" s="1"/>
  <c r="G151" i="51" a="1"/>
  <c r="G151" i="51" s="1"/>
  <c r="G151" i="22" a="1"/>
  <c r="G151" i="22" s="1"/>
  <c r="G150" i="54" a="1"/>
  <c r="G150" i="54" s="1"/>
  <c r="G150" i="63" a="1"/>
  <c r="G150" i="63" s="1"/>
  <c r="G150" i="51" a="1"/>
  <c r="G150" i="51" s="1"/>
  <c r="G150" i="22" a="1"/>
  <c r="G150" i="22" s="1"/>
  <c r="G149" i="54" a="1"/>
  <c r="G149" i="54" s="1"/>
  <c r="G149" i="63" a="1"/>
  <c r="G149" i="63" s="1"/>
  <c r="G149" i="51" a="1"/>
  <c r="G149" i="51" s="1"/>
  <c r="G149" i="22" a="1"/>
  <c r="G149" i="22" s="1"/>
  <c r="G148" i="54" a="1"/>
  <c r="G148" i="54"/>
  <c r="G148" i="63" a="1"/>
  <c r="G148" i="63" s="1"/>
  <c r="G148" i="51" a="1"/>
  <c r="G148" i="51" s="1"/>
  <c r="G148" i="22" a="1"/>
  <c r="G148" i="22" s="1"/>
  <c r="G147" i="54" a="1"/>
  <c r="G147" i="54" s="1"/>
  <c r="G147" i="63" a="1"/>
  <c r="G147" i="63" s="1"/>
  <c r="G147" i="51" a="1"/>
  <c r="G147" i="51" s="1"/>
  <c r="G147" i="22" a="1"/>
  <c r="G147" i="22" s="1"/>
  <c r="G143" i="54" a="1"/>
  <c r="G143" i="54" s="1"/>
  <c r="G143" i="63" a="1"/>
  <c r="G143" i="63" s="1"/>
  <c r="G143" i="51" a="1"/>
  <c r="G143" i="51" s="1"/>
  <c r="G143" i="22" a="1"/>
  <c r="G143" i="22" s="1"/>
  <c r="G142" i="54" a="1"/>
  <c r="G142" i="54" s="1"/>
  <c r="G142" i="63" a="1"/>
  <c r="G142" i="63" s="1"/>
  <c r="G142" i="51" a="1"/>
  <c r="G142" i="51" s="1"/>
  <c r="G142" i="22" a="1"/>
  <c r="G142" i="22" s="1"/>
  <c r="G141" i="54" a="1"/>
  <c r="G141" i="54" s="1"/>
  <c r="G141" i="63" a="1"/>
  <c r="G141" i="63" s="1"/>
  <c r="G141" i="51" a="1"/>
  <c r="G141" i="51" s="1"/>
  <c r="G141" i="22" a="1"/>
  <c r="G141" i="22" s="1"/>
  <c r="G140" i="54" a="1"/>
  <c r="G140" i="54"/>
  <c r="G140" i="63" a="1"/>
  <c r="G140" i="63" s="1"/>
  <c r="G140" i="51" a="1"/>
  <c r="G140" i="51" s="1"/>
  <c r="G140" i="22" a="1"/>
  <c r="G140" i="22"/>
  <c r="G139" i="54" a="1"/>
  <c r="G139" i="54"/>
  <c r="G139" i="63" a="1"/>
  <c r="G139" i="63" s="1"/>
  <c r="G139" i="51" a="1"/>
  <c r="G139" i="51" s="1"/>
  <c r="G139" i="22" a="1"/>
  <c r="G139" i="22" s="1"/>
  <c r="G138" i="54" a="1"/>
  <c r="G138" i="54" s="1"/>
  <c r="G138" i="63" a="1"/>
  <c r="G138" i="63" s="1"/>
  <c r="G138" i="51" a="1"/>
  <c r="G138" i="51" s="1"/>
  <c r="G138" i="22" a="1"/>
  <c r="G138" i="22" s="1"/>
  <c r="G137" i="54" a="1"/>
  <c r="G137" i="54" s="1"/>
  <c r="G137" i="63" a="1"/>
  <c r="G137" i="63" s="1"/>
  <c r="G137" i="51" a="1"/>
  <c r="G137" i="51" s="1"/>
  <c r="G137" i="22" a="1"/>
  <c r="G137" i="22" s="1"/>
  <c r="G136" i="54" a="1"/>
  <c r="G136" i="54" s="1"/>
  <c r="G136" i="63" a="1"/>
  <c r="G136" i="63" s="1"/>
  <c r="G136" i="51" a="1"/>
  <c r="G136" i="51" s="1"/>
  <c r="G136" i="22" a="1"/>
  <c r="G136" i="22"/>
  <c r="G132" i="54" a="1"/>
  <c r="G132" i="54"/>
  <c r="G132" i="63" a="1"/>
  <c r="G132" i="63" s="1"/>
  <c r="G132" i="51" a="1"/>
  <c r="G132" i="51" s="1"/>
  <c r="G132" i="22" a="1"/>
  <c r="G132" i="22" s="1"/>
  <c r="G131" i="54" a="1"/>
  <c r="G131" i="54" s="1"/>
  <c r="G131" i="63" a="1"/>
  <c r="G131" i="63" s="1"/>
  <c r="G131" i="51" a="1"/>
  <c r="G131" i="51" s="1"/>
  <c r="G131" i="22" a="1"/>
  <c r="G131" i="22" s="1"/>
  <c r="G130" i="54" a="1"/>
  <c r="G130" i="54" s="1"/>
  <c r="G130" i="63" a="1"/>
  <c r="G130" i="63" s="1"/>
  <c r="G130" i="51" a="1"/>
  <c r="G130" i="51" s="1"/>
  <c r="G130" i="22" a="1"/>
  <c r="G130" i="22" s="1"/>
  <c r="G129" i="54" a="1"/>
  <c r="G129" i="54"/>
  <c r="G129" i="63" a="1"/>
  <c r="G129" i="63" s="1"/>
  <c r="G129" i="51" a="1"/>
  <c r="G129" i="51" s="1"/>
  <c r="G129" i="22" a="1"/>
  <c r="G129" i="22" s="1"/>
  <c r="G128" i="54" a="1"/>
  <c r="G128" i="54" s="1"/>
  <c r="G128" i="63" a="1"/>
  <c r="G128" i="63" s="1"/>
  <c r="G128" i="51" a="1"/>
  <c r="G128" i="51" s="1"/>
  <c r="G128" i="22" a="1"/>
  <c r="G128" i="22" s="1"/>
  <c r="G127" i="54" a="1"/>
  <c r="G127" i="54"/>
  <c r="G127" i="63" a="1"/>
  <c r="G127" i="63" s="1"/>
  <c r="G127" i="51" a="1"/>
  <c r="G127" i="51" s="1"/>
  <c r="G127" i="22" a="1"/>
  <c r="G127" i="22"/>
  <c r="G126" i="54" a="1"/>
  <c r="G126" i="54"/>
  <c r="G126" i="63" a="1"/>
  <c r="G126" i="63" s="1"/>
  <c r="G126" i="51" a="1"/>
  <c r="G126" i="51" s="1"/>
  <c r="G126" i="22" a="1"/>
  <c r="G126" i="22" s="1"/>
  <c r="G125" i="54" a="1"/>
  <c r="G125" i="54"/>
  <c r="G125" i="63" a="1"/>
  <c r="G125" i="63" s="1"/>
  <c r="G125" i="51" a="1"/>
  <c r="G125" i="51" s="1"/>
  <c r="G125" i="22" a="1"/>
  <c r="G125" i="22" s="1"/>
  <c r="C242" i="54" a="1"/>
  <c r="C242" i="54"/>
  <c r="C242" i="63" a="1"/>
  <c r="C242" i="63" s="1"/>
  <c r="C242" i="51" a="1"/>
  <c r="C242" i="51" s="1"/>
  <c r="C242" i="22" a="1"/>
  <c r="C242" i="22"/>
  <c r="C241" i="54" a="1"/>
  <c r="C241" i="54"/>
  <c r="C241" i="63" a="1"/>
  <c r="C241" i="63" s="1"/>
  <c r="C241" i="51" a="1"/>
  <c r="C241" i="51" s="1"/>
  <c r="C241" i="22" a="1"/>
  <c r="C241" i="22" s="1"/>
  <c r="C240" i="54" a="1"/>
  <c r="C240" i="54" s="1"/>
  <c r="C240" i="63" a="1"/>
  <c r="C240" i="63" s="1"/>
  <c r="C240" i="51" a="1"/>
  <c r="C240" i="51" s="1"/>
  <c r="C240" i="22" a="1"/>
  <c r="C240" i="22" s="1"/>
  <c r="C239" i="54" a="1"/>
  <c r="C239" i="54" s="1"/>
  <c r="C239" i="63" a="1"/>
  <c r="C239" i="63" s="1"/>
  <c r="C239" i="51" a="1"/>
  <c r="C239" i="51" s="1"/>
  <c r="C239" i="22" a="1"/>
  <c r="C239" i="22"/>
  <c r="C238" i="54" a="1"/>
  <c r="C238" i="54"/>
  <c r="C238" i="63" a="1"/>
  <c r="C238" i="63" s="1"/>
  <c r="C238" i="51" a="1"/>
  <c r="C238" i="51" s="1"/>
  <c r="C238" i="22" a="1"/>
  <c r="C238" i="22" s="1"/>
  <c r="C237" i="54" a="1"/>
  <c r="C237" i="54" s="1"/>
  <c r="C237" i="63" a="1"/>
  <c r="C237" i="63" s="1"/>
  <c r="C237" i="51" a="1"/>
  <c r="C237" i="51" s="1"/>
  <c r="C237" i="22" a="1"/>
  <c r="C237" i="22" s="1"/>
  <c r="C236" i="54" a="1"/>
  <c r="C236" i="54"/>
  <c r="C236" i="63" a="1"/>
  <c r="C236" i="63" s="1"/>
  <c r="C236" i="51" a="1"/>
  <c r="C236" i="51" s="1"/>
  <c r="C236" i="22" a="1"/>
  <c r="C236" i="22" s="1"/>
  <c r="C235" i="54" a="1"/>
  <c r="C235" i="54" s="1"/>
  <c r="C235" i="63" a="1"/>
  <c r="C235" i="63" s="1"/>
  <c r="C235" i="51" a="1"/>
  <c r="C235" i="51" s="1"/>
  <c r="C235" i="22" a="1"/>
  <c r="C235" i="22" s="1"/>
  <c r="C224" i="54" a="1"/>
  <c r="C224" i="54"/>
  <c r="C224" i="63" a="1"/>
  <c r="C224" i="63" s="1"/>
  <c r="C224" i="51" a="1"/>
  <c r="C224" i="51" s="1"/>
  <c r="C224" i="22" a="1"/>
  <c r="C224" i="22" s="1"/>
  <c r="G223" i="54" a="1"/>
  <c r="G223" i="54" s="1"/>
  <c r="G223" i="63" a="1"/>
  <c r="G223" i="63" s="1"/>
  <c r="G223" i="51" a="1"/>
  <c r="G223" i="51" s="1"/>
  <c r="G223" i="22" a="1"/>
  <c r="G223" i="22" s="1"/>
  <c r="G212" i="54" a="1"/>
  <c r="G212" i="54"/>
  <c r="G212" i="63" a="1"/>
  <c r="G212" i="63" s="1"/>
  <c r="G212" i="51" a="1"/>
  <c r="G212" i="51" s="1"/>
  <c r="G212" i="22" a="1"/>
  <c r="G212" i="22" s="1"/>
  <c r="G201" i="54" a="1"/>
  <c r="G201" i="54"/>
  <c r="G201" i="63" a="1"/>
  <c r="G201" i="63" s="1"/>
  <c r="G201" i="51" a="1"/>
  <c r="G201" i="51" s="1"/>
  <c r="G201" i="22" a="1"/>
  <c r="G201" i="22"/>
  <c r="G168" i="54" a="1"/>
  <c r="G168" i="54" s="1"/>
  <c r="G168" i="63" a="1"/>
  <c r="G168" i="63" s="1"/>
  <c r="G168" i="51" a="1"/>
  <c r="G168" i="51" s="1"/>
  <c r="G168" i="22" a="1"/>
  <c r="G168" i="22" s="1"/>
  <c r="G157" i="54" a="1"/>
  <c r="G157" i="54" s="1"/>
  <c r="G157" i="63" a="1"/>
  <c r="G157" i="63" s="1"/>
  <c r="G157" i="51" a="1"/>
  <c r="G157" i="51" s="1"/>
  <c r="G157" i="22" a="1"/>
  <c r="G157" i="22" s="1"/>
  <c r="G146" i="54" a="1"/>
  <c r="G146" i="54"/>
  <c r="G146" i="63" a="1"/>
  <c r="G146" i="63" s="1"/>
  <c r="G146" i="51" a="1"/>
  <c r="G146" i="51" s="1"/>
  <c r="G146" i="22" a="1"/>
  <c r="G146" i="22" s="1"/>
  <c r="G135" i="54" a="1"/>
  <c r="G135" i="54" s="1"/>
  <c r="G135" i="63" a="1"/>
  <c r="G135" i="63" s="1"/>
  <c r="G135" i="51" a="1"/>
  <c r="G135" i="51" s="1"/>
  <c r="G135" i="22" a="1"/>
  <c r="G135" i="22" s="1"/>
  <c r="G124" i="54" a="1"/>
  <c r="G124" i="54"/>
  <c r="G124" i="63" a="1"/>
  <c r="G124" i="63" s="1"/>
  <c r="G124" i="51" a="1"/>
  <c r="G124" i="51" s="1"/>
  <c r="G124" i="22" a="1"/>
  <c r="G124" i="22"/>
  <c r="C234" i="54" a="1"/>
  <c r="C234" i="54"/>
  <c r="C234" i="63" a="1"/>
  <c r="C234" i="63" s="1"/>
  <c r="C234" i="51" a="1"/>
  <c r="C234" i="51" s="1"/>
  <c r="C234" i="22" a="1"/>
  <c r="C234" i="22" s="1"/>
  <c r="C223" i="54" a="1"/>
  <c r="C223" i="54"/>
  <c r="C223" i="63" a="1"/>
  <c r="C223" i="63" s="1"/>
  <c r="C223" i="51" a="1"/>
  <c r="C223" i="51" s="1"/>
  <c r="C223" i="22" a="1"/>
  <c r="C223" i="22"/>
  <c r="C230" i="54" a="1"/>
  <c r="C230" i="54"/>
  <c r="C230" i="63" a="1"/>
  <c r="C230" i="63" s="1"/>
  <c r="C230" i="51" a="1"/>
  <c r="C230" i="51" s="1"/>
  <c r="C230" i="22" a="1"/>
  <c r="C230" i="22" s="1"/>
  <c r="C229" i="54" a="1"/>
  <c r="C229" i="54"/>
  <c r="C229" i="63" a="1"/>
  <c r="C229" i="63" s="1"/>
  <c r="C229" i="51" a="1"/>
  <c r="C229" i="51" s="1"/>
  <c r="C229" i="22" a="1"/>
  <c r="C229" i="22" s="1"/>
  <c r="C228" i="54" a="1"/>
  <c r="C228" i="54" s="1"/>
  <c r="C228" i="63" a="1"/>
  <c r="C228" i="63" s="1"/>
  <c r="C228" i="51" a="1"/>
  <c r="C228" i="51" s="1"/>
  <c r="C228" i="22" a="1"/>
  <c r="C228" i="22" s="1"/>
  <c r="C227" i="54" a="1"/>
  <c r="C227" i="54" s="1"/>
  <c r="C227" i="63" a="1"/>
  <c r="C227" i="63" s="1"/>
  <c r="C227" i="51" a="1"/>
  <c r="C227" i="51" s="1"/>
  <c r="C227" i="22" a="1"/>
  <c r="C227" i="22" s="1"/>
  <c r="C226" i="54" a="1"/>
  <c r="C226" i="54"/>
  <c r="C226" i="63" a="1"/>
  <c r="C226" i="63" s="1"/>
  <c r="C226" i="51" a="1"/>
  <c r="C226" i="51" s="1"/>
  <c r="C226" i="22" a="1"/>
  <c r="C226" i="22"/>
  <c r="C225" i="54" a="1"/>
  <c r="C225" i="54"/>
  <c r="C225" i="63" a="1"/>
  <c r="C225" i="63" s="1"/>
  <c r="C225" i="51" a="1"/>
  <c r="C225" i="51" s="1"/>
  <c r="C225" i="22" a="1"/>
  <c r="C225" i="22" s="1"/>
  <c r="C231" i="54" a="1"/>
  <c r="C231" i="54" s="1"/>
  <c r="C231" i="63" a="1"/>
  <c r="C231" i="63" s="1"/>
  <c r="C231" i="51" a="1"/>
  <c r="C231" i="51" s="1"/>
  <c r="C231" i="22" a="1"/>
  <c r="C231" i="22" s="1"/>
  <c r="C220" i="54" a="1"/>
  <c r="C220" i="54"/>
  <c r="C220" i="63" a="1"/>
  <c r="C220" i="63" s="1"/>
  <c r="C220" i="51" a="1"/>
  <c r="C220" i="51" s="1"/>
  <c r="C220" i="22" a="1"/>
  <c r="C220" i="22" s="1"/>
  <c r="C219" i="54" a="1"/>
  <c r="C219" i="54" s="1"/>
  <c r="C219" i="63" a="1"/>
  <c r="C219" i="63" s="1"/>
  <c r="C219" i="51" a="1"/>
  <c r="C219" i="51" s="1"/>
  <c r="C219" i="22" a="1"/>
  <c r="C219" i="22" s="1"/>
  <c r="C218" i="54" a="1"/>
  <c r="C218" i="54"/>
  <c r="C218" i="63" a="1"/>
  <c r="C218" i="63" s="1"/>
  <c r="C218" i="51" a="1"/>
  <c r="C218" i="51" s="1"/>
  <c r="C218" i="22" a="1"/>
  <c r="C218" i="22" s="1"/>
  <c r="C217" i="54" a="1"/>
  <c r="C217" i="54" s="1"/>
  <c r="C217" i="63" a="1"/>
  <c r="C217" i="63" s="1"/>
  <c r="C217" i="51" a="1"/>
  <c r="C217" i="51" s="1"/>
  <c r="C217" i="22" a="1"/>
  <c r="C217" i="22" s="1"/>
  <c r="C216" i="54" a="1"/>
  <c r="C216" i="54"/>
  <c r="C216" i="63" a="1"/>
  <c r="C216" i="63" s="1"/>
  <c r="C216" i="51" a="1"/>
  <c r="C216" i="51" s="1"/>
  <c r="C216" i="22" a="1"/>
  <c r="C216" i="22"/>
  <c r="C215" i="54" a="1"/>
  <c r="C215" i="54" s="1"/>
  <c r="C215" i="63" a="1"/>
  <c r="C215" i="63" s="1"/>
  <c r="C215" i="51" a="1"/>
  <c r="C215" i="51" s="1"/>
  <c r="C215" i="22" a="1"/>
  <c r="C215" i="22" s="1"/>
  <c r="C214" i="54" a="1"/>
  <c r="C214" i="54" s="1"/>
  <c r="C214" i="63" a="1"/>
  <c r="C214" i="63"/>
  <c r="C214" i="51" a="1"/>
  <c r="C214" i="51" s="1"/>
  <c r="C214" i="22" a="1"/>
  <c r="C214" i="22" s="1"/>
  <c r="C213" i="54" a="1"/>
  <c r="C213" i="54"/>
  <c r="C213" i="63" a="1"/>
  <c r="C213" i="63" s="1"/>
  <c r="C213" i="51" a="1"/>
  <c r="C213" i="51" s="1"/>
  <c r="C213" i="22" a="1"/>
  <c r="C213" i="22"/>
  <c r="C212" i="54" a="1"/>
  <c r="C212" i="54" s="1"/>
  <c r="C212" i="63" a="1"/>
  <c r="C212" i="63" s="1"/>
  <c r="C212" i="51" a="1"/>
  <c r="C212" i="51" s="1"/>
  <c r="C212" i="22" a="1"/>
  <c r="C212" i="22" s="1"/>
  <c r="C201" i="54" a="1"/>
  <c r="C201" i="54" s="1"/>
  <c r="C201" i="63" a="1"/>
  <c r="C201" i="63" s="1"/>
  <c r="C201" i="51" a="1"/>
  <c r="C201" i="51" s="1"/>
  <c r="C201" i="22" a="1"/>
  <c r="C201" i="22" s="1"/>
  <c r="C209" i="54" a="1"/>
  <c r="C209" i="54" s="1"/>
  <c r="C209" i="63" a="1"/>
  <c r="C209" i="63" s="1"/>
  <c r="C209" i="51" a="1"/>
  <c r="C209" i="51" s="1"/>
  <c r="C209" i="22" a="1"/>
  <c r="C209" i="22" s="1"/>
  <c r="C208" i="54" a="1"/>
  <c r="C208" i="54"/>
  <c r="C208" i="63" a="1"/>
  <c r="C208" i="63" s="1"/>
  <c r="C208" i="51" a="1"/>
  <c r="C208" i="51" s="1"/>
  <c r="C208" i="22" a="1"/>
  <c r="C208" i="22"/>
  <c r="C207" i="54" a="1"/>
  <c r="C207" i="54"/>
  <c r="C207" i="63" a="1"/>
  <c r="C207" i="63" s="1"/>
  <c r="C207" i="51" a="1"/>
  <c r="C207" i="51" s="1"/>
  <c r="C207" i="22" a="1"/>
  <c r="C207" i="22" s="1"/>
  <c r="C206" i="54" a="1"/>
  <c r="C206" i="54"/>
  <c r="C206" i="63" a="1"/>
  <c r="C206" i="63" s="1"/>
  <c r="C206" i="51" a="1"/>
  <c r="C206" i="51" s="1"/>
  <c r="C206" i="22" a="1"/>
  <c r="C206" i="22"/>
  <c r="C205" i="54" a="1"/>
  <c r="C205" i="54"/>
  <c r="C205" i="63" a="1"/>
  <c r="C205" i="63" s="1"/>
  <c r="C205" i="51" a="1"/>
  <c r="C205" i="51" s="1"/>
  <c r="C205" i="22" a="1"/>
  <c r="C205" i="22" s="1"/>
  <c r="C204" i="54" a="1"/>
  <c r="C204" i="54" s="1"/>
  <c r="C204" i="63" a="1"/>
  <c r="C204" i="63" s="1"/>
  <c r="C204" i="51" a="1"/>
  <c r="C204" i="51" s="1"/>
  <c r="C204" i="22" a="1"/>
  <c r="C204" i="22" s="1"/>
  <c r="C203" i="54" a="1"/>
  <c r="C203" i="54" s="1"/>
  <c r="C203" i="63" a="1"/>
  <c r="C203" i="63" s="1"/>
  <c r="C203" i="51" a="1"/>
  <c r="C203" i="51" s="1"/>
  <c r="C203" i="22" a="1"/>
  <c r="C203" i="22" s="1"/>
  <c r="C202" i="54" a="1"/>
  <c r="C202" i="54" s="1"/>
  <c r="C202" i="63" a="1"/>
  <c r="C202" i="63" s="1"/>
  <c r="C202" i="51" a="1"/>
  <c r="C202" i="51" s="1"/>
  <c r="C202" i="22" a="1"/>
  <c r="C202" i="22" s="1"/>
  <c r="C198" i="54" a="1"/>
  <c r="C198" i="54" s="1"/>
  <c r="C198" i="63" a="1"/>
  <c r="C198" i="63" s="1"/>
  <c r="C198" i="51" a="1"/>
  <c r="C198" i="51" s="1"/>
  <c r="C198" i="22" a="1"/>
  <c r="C198" i="22" s="1"/>
  <c r="C197" i="54" a="1"/>
  <c r="C197" i="54"/>
  <c r="C197" i="63" a="1"/>
  <c r="C197" i="63" s="1"/>
  <c r="C197" i="51" a="1"/>
  <c r="C197" i="51" s="1"/>
  <c r="C197" i="22" a="1"/>
  <c r="C197" i="22" s="1"/>
  <c r="C196" i="54" a="1"/>
  <c r="C196" i="54"/>
  <c r="C196" i="63" a="1"/>
  <c r="C196" i="63" s="1"/>
  <c r="C196" i="51" a="1"/>
  <c r="C196" i="51" s="1"/>
  <c r="C196" i="22" a="1"/>
  <c r="C196" i="22"/>
  <c r="C195" i="54" a="1"/>
  <c r="C195" i="54" s="1"/>
  <c r="C195" i="63" a="1"/>
  <c r="C195" i="63" s="1"/>
  <c r="C195" i="51" a="1"/>
  <c r="C195" i="51" s="1"/>
  <c r="C195" i="22" a="1"/>
  <c r="C195" i="22" s="1"/>
  <c r="C194" i="54" a="1"/>
  <c r="C194" i="54" s="1"/>
  <c r="C194" i="63" a="1"/>
  <c r="C194" i="63" s="1"/>
  <c r="C194" i="51" a="1"/>
  <c r="C194" i="51" s="1"/>
  <c r="C194" i="22" a="1"/>
  <c r="C194" i="22" s="1"/>
  <c r="C193" i="54" a="1"/>
  <c r="C193" i="54" s="1"/>
  <c r="C193" i="63" a="1"/>
  <c r="C193" i="63" s="1"/>
  <c r="C193" i="51" a="1"/>
  <c r="C193" i="51" s="1"/>
  <c r="C193" i="22" a="1"/>
  <c r="C193" i="22" s="1"/>
  <c r="C192" i="54" a="1"/>
  <c r="C192" i="54" s="1"/>
  <c r="C192" i="63" a="1"/>
  <c r="C192" i="63" s="1"/>
  <c r="C192" i="51" a="1"/>
  <c r="C192" i="51" s="1"/>
  <c r="C192" i="22" a="1"/>
  <c r="C192" i="22"/>
  <c r="C191" i="54" a="1"/>
  <c r="C191" i="54" s="1"/>
  <c r="C191" i="63" a="1"/>
  <c r="C191" i="63" s="1"/>
  <c r="C191" i="51" a="1"/>
  <c r="C191" i="51" s="1"/>
  <c r="C191" i="22" a="1"/>
  <c r="C191" i="22" s="1"/>
  <c r="C190" i="54" a="1"/>
  <c r="C190" i="54" s="1"/>
  <c r="C190" i="63" a="1"/>
  <c r="C190" i="63" s="1"/>
  <c r="C190" i="51" a="1"/>
  <c r="C190" i="51" s="1"/>
  <c r="C190" i="22" a="1"/>
  <c r="C190" i="22" s="1"/>
  <c r="C187" i="54" a="1"/>
  <c r="C187" i="54"/>
  <c r="C187" i="63" a="1"/>
  <c r="C187" i="63" s="1"/>
  <c r="C187" i="51" a="1"/>
  <c r="C187" i="51" s="1"/>
  <c r="C187" i="22" a="1"/>
  <c r="C187" i="22" s="1"/>
  <c r="C186" i="54" a="1"/>
  <c r="C186" i="54" s="1"/>
  <c r="C186" i="63" a="1"/>
  <c r="C186" i="63" s="1"/>
  <c r="C186" i="51" a="1"/>
  <c r="C186" i="51" s="1"/>
  <c r="C186" i="22" a="1"/>
  <c r="C186" i="22" s="1"/>
  <c r="C185" i="54" a="1"/>
  <c r="C185" i="54" s="1"/>
  <c r="C185" i="63" a="1"/>
  <c r="C185" i="63" s="1"/>
  <c r="C185" i="51" a="1"/>
  <c r="C185" i="51" s="1"/>
  <c r="C185" i="22" a="1"/>
  <c r="C185" i="22" s="1"/>
  <c r="C184" i="54" a="1"/>
  <c r="C184" i="54" s="1"/>
  <c r="C184" i="63" a="1"/>
  <c r="C184" i="63" s="1"/>
  <c r="C184" i="51" a="1"/>
  <c r="C184" i="51" s="1"/>
  <c r="C184" i="22" a="1"/>
  <c r="C184" i="22" s="1"/>
  <c r="C183" i="54" a="1"/>
  <c r="C183" i="54" s="1"/>
  <c r="C183" i="63" a="1"/>
  <c r="C183" i="63" s="1"/>
  <c r="C183" i="51" a="1"/>
  <c r="C183" i="51" s="1"/>
  <c r="C183" i="22" a="1"/>
  <c r="C183" i="22" s="1"/>
  <c r="C182" i="54" a="1"/>
  <c r="C182" i="54" s="1"/>
  <c r="C182" i="63" a="1"/>
  <c r="C182" i="63" s="1"/>
  <c r="C182" i="51" a="1"/>
  <c r="C182" i="51" s="1"/>
  <c r="C182" i="22" a="1"/>
  <c r="C182" i="22" s="1"/>
  <c r="C181" i="54" a="1"/>
  <c r="C181" i="54" s="1"/>
  <c r="C181" i="63" a="1"/>
  <c r="C181" i="63" s="1"/>
  <c r="C181" i="51" a="1"/>
  <c r="C181" i="51" s="1"/>
  <c r="C181" i="22" a="1"/>
  <c r="C181" i="22" s="1"/>
  <c r="C180" i="54" a="1"/>
  <c r="C180" i="54" s="1"/>
  <c r="C180" i="63" a="1"/>
  <c r="C180" i="63" s="1"/>
  <c r="C180" i="51" a="1"/>
  <c r="C180" i="51" s="1"/>
  <c r="C180" i="22" a="1"/>
  <c r="C180" i="22"/>
  <c r="C179" i="54" a="1"/>
  <c r="C179" i="54"/>
  <c r="C179" i="63" a="1"/>
  <c r="C179" i="63" s="1"/>
  <c r="C179" i="51" a="1"/>
  <c r="C179" i="51" s="1"/>
  <c r="C179" i="22" a="1"/>
  <c r="C179" i="22" s="1"/>
  <c r="C170" i="54" a="1"/>
  <c r="C170" i="54"/>
  <c r="C170" i="63" a="1"/>
  <c r="C170" i="63" s="1"/>
  <c r="C170" i="51" a="1"/>
  <c r="C170" i="51" s="1"/>
  <c r="C170" i="22" a="1"/>
  <c r="C170" i="22"/>
  <c r="C169" i="54" a="1"/>
  <c r="C169" i="54" s="1"/>
  <c r="C169" i="63" a="1"/>
  <c r="C169" i="63" s="1"/>
  <c r="C169" i="51" a="1"/>
  <c r="C169" i="51" s="1"/>
  <c r="C169" i="22" a="1"/>
  <c r="C169" i="22" s="1"/>
  <c r="C176" i="54" a="1"/>
  <c r="C176" i="54" s="1"/>
  <c r="C176" i="63" a="1"/>
  <c r="C176" i="63" s="1"/>
  <c r="C176" i="51" a="1"/>
  <c r="C176" i="51" s="1"/>
  <c r="C176" i="22" a="1"/>
  <c r="C176" i="22"/>
  <c r="C175" i="54" a="1"/>
  <c r="C175" i="54" s="1"/>
  <c r="C175" i="63" a="1"/>
  <c r="C175" i="63" s="1"/>
  <c r="C175" i="51" a="1"/>
  <c r="C175" i="51" s="1"/>
  <c r="C175" i="22" a="1"/>
  <c r="C175" i="22" s="1"/>
  <c r="C174" i="54" a="1"/>
  <c r="C174" i="54"/>
  <c r="C174" i="63" a="1"/>
  <c r="C174" i="63" s="1"/>
  <c r="C174" i="51" a="1"/>
  <c r="C174" i="51" s="1"/>
  <c r="C174" i="22" a="1"/>
  <c r="C174" i="22" s="1"/>
  <c r="C173" i="54" a="1"/>
  <c r="C173" i="54" s="1"/>
  <c r="C173" i="63" a="1"/>
  <c r="C173" i="63" s="1"/>
  <c r="C173" i="51" a="1"/>
  <c r="C173" i="51"/>
  <c r="C173" i="22" a="1"/>
  <c r="C173" i="22" s="1"/>
  <c r="C172" i="54" a="1"/>
  <c r="C172" i="54" s="1"/>
  <c r="C172" i="63" a="1"/>
  <c r="C172" i="63" s="1"/>
  <c r="C172" i="51" a="1"/>
  <c r="C172" i="51" s="1"/>
  <c r="C172" i="22" a="1"/>
  <c r="C172" i="22" s="1"/>
  <c r="C171" i="54" a="1"/>
  <c r="C171" i="54"/>
  <c r="C171" i="63" a="1"/>
  <c r="C171" i="63" s="1"/>
  <c r="C171" i="51" a="1"/>
  <c r="C171" i="51"/>
  <c r="C171" i="22" a="1"/>
  <c r="C171" i="22" s="1"/>
  <c r="C168" i="54" a="1"/>
  <c r="C168" i="54"/>
  <c r="C168" i="63" a="1"/>
  <c r="C168" i="63" s="1"/>
  <c r="C168" i="51" a="1"/>
  <c r="C168" i="51" s="1"/>
  <c r="C168" i="22" a="1"/>
  <c r="C168" i="22" s="1"/>
  <c r="C210" i="76" l="1"/>
  <c r="G210" i="76"/>
  <c r="C155" i="76"/>
  <c r="G166" i="76"/>
  <c r="G188" i="76"/>
  <c r="G232" i="76"/>
  <c r="G133" i="76"/>
  <c r="C221" i="76"/>
  <c r="C177" i="76"/>
  <c r="G144" i="76"/>
  <c r="C199" i="76"/>
  <c r="G177" i="6"/>
  <c r="G221" i="6"/>
  <c r="G199" i="6"/>
  <c r="C232" i="66"/>
  <c r="G232" i="66"/>
  <c r="G188" i="66"/>
  <c r="G210" i="66"/>
  <c r="C177" i="66"/>
  <c r="C199" i="66"/>
  <c r="C221" i="66"/>
  <c r="C243" i="66"/>
  <c r="C155" i="66"/>
  <c r="G166" i="66"/>
  <c r="C188" i="76"/>
  <c r="G221" i="76"/>
  <c r="C232" i="76"/>
  <c r="C134" i="76"/>
  <c r="G234" i="76"/>
  <c r="C144" i="76"/>
  <c r="C166" i="76"/>
  <c r="G199" i="76"/>
  <c r="C243" i="76"/>
  <c r="G155" i="76"/>
  <c r="G177" i="76"/>
  <c r="C134" i="75"/>
  <c r="G234" i="75"/>
  <c r="C210" i="75"/>
  <c r="C166" i="75"/>
  <c r="C188" i="75"/>
  <c r="G199" i="75"/>
  <c r="G177" i="75"/>
  <c r="G155" i="75"/>
  <c r="G234" i="73"/>
  <c r="C134" i="73"/>
  <c r="C144" i="73"/>
  <c r="C166" i="73"/>
  <c r="G177" i="73"/>
  <c r="C188" i="73"/>
  <c r="C210" i="73"/>
  <c r="C232" i="73"/>
  <c r="G199" i="73"/>
  <c r="G221" i="73"/>
  <c r="C243" i="73"/>
  <c r="G155" i="73"/>
  <c r="C188" i="69"/>
  <c r="C134" i="69"/>
  <c r="G234" i="69"/>
  <c r="G155" i="69"/>
  <c r="G177" i="69"/>
  <c r="C210" i="69"/>
  <c r="C144" i="69"/>
  <c r="C166" i="69"/>
  <c r="G133" i="69"/>
  <c r="G221" i="69"/>
  <c r="C232" i="69"/>
  <c r="G199" i="69"/>
  <c r="G155" i="66"/>
  <c r="C166" i="66"/>
  <c r="C188" i="66"/>
  <c r="G177" i="66"/>
  <c r="G199" i="66"/>
  <c r="G234" i="66"/>
  <c r="C134" i="66"/>
  <c r="C144" i="66"/>
  <c r="C210" i="66"/>
  <c r="G221" i="66"/>
  <c r="C144" i="6"/>
  <c r="C188" i="6"/>
  <c r="C243" i="6"/>
  <c r="G144" i="6"/>
  <c r="G166" i="6"/>
  <c r="C199" i="6"/>
  <c r="C210" i="6"/>
  <c r="G133" i="6"/>
  <c r="G155" i="6"/>
  <c r="C166" i="6"/>
  <c r="C232" i="6"/>
  <c r="G210" i="6"/>
  <c r="C221" i="6"/>
  <c r="G232" i="6"/>
  <c r="G234" i="6"/>
  <c r="C134" i="6"/>
  <c r="C155" i="6"/>
  <c r="C177" i="6"/>
  <c r="G188" i="6"/>
  <c r="C165" i="54" l="1" a="1"/>
  <c r="C165" i="54" s="1"/>
  <c r="C165" i="63" a="1"/>
  <c r="C165" i="63" s="1"/>
  <c r="C165" i="51" a="1"/>
  <c r="C165" i="51" s="1"/>
  <c r="C165" i="22" a="1"/>
  <c r="C165" i="22"/>
  <c r="C164" i="54" a="1"/>
  <c r="C164" i="54" s="1"/>
  <c r="C164" i="63" a="1"/>
  <c r="C164" i="63" s="1"/>
  <c r="C164" i="51" a="1"/>
  <c r="C164" i="51" s="1"/>
  <c r="C164" i="22" a="1"/>
  <c r="C164" i="22" s="1"/>
  <c r="C163" i="54" a="1"/>
  <c r="C163" i="54" s="1"/>
  <c r="C163" i="63" a="1"/>
  <c r="C163" i="63" s="1"/>
  <c r="C163" i="51" a="1"/>
  <c r="C163" i="51" s="1"/>
  <c r="C163" i="22" a="1"/>
  <c r="C163" i="22" s="1"/>
  <c r="C162" i="54" a="1"/>
  <c r="C162" i="54"/>
  <c r="C162" i="63" a="1"/>
  <c r="C162" i="63" s="1"/>
  <c r="C162" i="51" a="1"/>
  <c r="C162" i="51" s="1"/>
  <c r="C162" i="22" a="1"/>
  <c r="C162" i="22" s="1"/>
  <c r="C161" i="54" a="1"/>
  <c r="C161" i="54" s="1"/>
  <c r="C161" i="63" a="1"/>
  <c r="C161" i="63" s="1"/>
  <c r="C161" i="51" a="1"/>
  <c r="C161" i="51" s="1"/>
  <c r="C161" i="22" a="1"/>
  <c r="C161" i="22" s="1"/>
  <c r="C160" i="54" a="1"/>
  <c r="C160" i="54" s="1"/>
  <c r="C160" i="63" a="1"/>
  <c r="C160" i="63" s="1"/>
  <c r="C160" i="51" a="1"/>
  <c r="C160" i="51" s="1"/>
  <c r="C160" i="22" a="1"/>
  <c r="C160" i="22" s="1"/>
  <c r="C159" i="54" a="1"/>
  <c r="C159" i="54"/>
  <c r="C159" i="63" a="1"/>
  <c r="C159" i="63" s="1"/>
  <c r="C159" i="51" a="1"/>
  <c r="C159" i="51" s="1"/>
  <c r="C159" i="22" a="1"/>
  <c r="C159" i="22" s="1"/>
  <c r="C158" i="54" a="1"/>
  <c r="C158" i="54" s="1"/>
  <c r="C158" i="63" a="1"/>
  <c r="C158" i="63" s="1"/>
  <c r="C158" i="51" a="1"/>
  <c r="C158" i="51" s="1"/>
  <c r="C158" i="22" a="1"/>
  <c r="C158" i="22" s="1"/>
  <c r="C154" i="54" a="1"/>
  <c r="C154" i="54" s="1"/>
  <c r="C154" i="63" a="1"/>
  <c r="C154" i="63" s="1"/>
  <c r="C154" i="51" a="1"/>
  <c r="C154" i="51" s="1"/>
  <c r="C154" i="22" a="1"/>
  <c r="C154" i="22" s="1"/>
  <c r="C153" i="54" a="1"/>
  <c r="C153" i="54" s="1"/>
  <c r="C153" i="63" a="1"/>
  <c r="C153" i="63" s="1"/>
  <c r="C153" i="51" a="1"/>
  <c r="C153" i="51" s="1"/>
  <c r="C153" i="22" a="1"/>
  <c r="C153" i="22" s="1"/>
  <c r="C152" i="54" a="1"/>
  <c r="C152" i="54"/>
  <c r="C152" i="63" a="1"/>
  <c r="C152" i="63" s="1"/>
  <c r="C152" i="51" a="1"/>
  <c r="C152" i="51" s="1"/>
  <c r="C152" i="22" a="1"/>
  <c r="C152" i="22" s="1"/>
  <c r="C151" i="54" a="1"/>
  <c r="C151" i="54" s="1"/>
  <c r="C151" i="63" a="1"/>
  <c r="C151" i="63" s="1"/>
  <c r="C151" i="51" a="1"/>
  <c r="C151" i="51" s="1"/>
  <c r="C151" i="22" a="1"/>
  <c r="C151" i="22" s="1"/>
  <c r="C150" i="54" a="1"/>
  <c r="C150" i="54"/>
  <c r="C150" i="63" a="1"/>
  <c r="C150" i="63" s="1"/>
  <c r="C150" i="51" a="1"/>
  <c r="C150" i="51" s="1"/>
  <c r="C150" i="22" a="1"/>
  <c r="C150" i="22" s="1"/>
  <c r="C149" i="54" a="1"/>
  <c r="C149" i="54" s="1"/>
  <c r="C149" i="63" a="1"/>
  <c r="C149" i="63" s="1"/>
  <c r="C149" i="51" a="1"/>
  <c r="C149" i="51" s="1"/>
  <c r="C149" i="22" a="1"/>
  <c r="C149" i="22" s="1"/>
  <c r="C148" i="54" a="1"/>
  <c r="C148" i="54"/>
  <c r="C148" i="63" a="1"/>
  <c r="C148" i="63" s="1"/>
  <c r="C148" i="51" a="1"/>
  <c r="C148" i="51" s="1"/>
  <c r="C148" i="22" a="1"/>
  <c r="C148" i="22" s="1"/>
  <c r="C147" i="54" a="1"/>
  <c r="C147" i="54"/>
  <c r="C147" i="63" a="1"/>
  <c r="C147" i="63" s="1"/>
  <c r="C147" i="51" a="1"/>
  <c r="C147" i="51" s="1"/>
  <c r="C147" i="22" a="1"/>
  <c r="C147" i="22" s="1"/>
  <c r="C146" i="54" a="1"/>
  <c r="C146" i="54" s="1"/>
  <c r="C146" i="63" a="1"/>
  <c r="C146" i="63" s="1"/>
  <c r="C146" i="51" a="1"/>
  <c r="C146" i="51"/>
  <c r="C146" i="22" a="1"/>
  <c r="C146" i="22" s="1"/>
  <c r="C143" i="54" a="1"/>
  <c r="C143" i="54" s="1"/>
  <c r="C143" i="63" a="1"/>
  <c r="C143" i="63" s="1"/>
  <c r="C143" i="51" a="1"/>
  <c r="C143" i="51" s="1"/>
  <c r="C143" i="22" a="1"/>
  <c r="C143" i="22"/>
  <c r="C142" i="54" a="1"/>
  <c r="C142" i="54"/>
  <c r="C142" i="63" a="1"/>
  <c r="C142" i="63" s="1"/>
  <c r="C142" i="51" a="1"/>
  <c r="C142" i="51" s="1"/>
  <c r="C142" i="22" a="1"/>
  <c r="C142" i="22" s="1"/>
  <c r="C141" i="54" a="1"/>
  <c r="C141" i="54" s="1"/>
  <c r="C141" i="63" a="1"/>
  <c r="C141" i="63" s="1"/>
  <c r="C141" i="51" a="1"/>
  <c r="C141" i="51" s="1"/>
  <c r="C141" i="22" a="1"/>
  <c r="C141" i="22" s="1"/>
  <c r="C140" i="54" a="1"/>
  <c r="C140" i="54" s="1"/>
  <c r="C140" i="63" a="1"/>
  <c r="C140" i="63" s="1"/>
  <c r="C140" i="51" a="1"/>
  <c r="C140" i="51" s="1"/>
  <c r="C140" i="22" a="1"/>
  <c r="C140" i="22" s="1"/>
  <c r="C139" i="54" a="1"/>
  <c r="C139" i="54" s="1"/>
  <c r="C139" i="63" a="1"/>
  <c r="C139" i="63" s="1"/>
  <c r="C139" i="51" a="1"/>
  <c r="C139" i="51" s="1"/>
  <c r="C139" i="22" a="1"/>
  <c r="C139" i="22" s="1"/>
  <c r="C138" i="54" a="1"/>
  <c r="C138" i="54"/>
  <c r="C138" i="63" a="1"/>
  <c r="C138" i="63" s="1"/>
  <c r="C138" i="51" a="1"/>
  <c r="C138" i="51" s="1"/>
  <c r="C138" i="22" a="1"/>
  <c r="C138" i="22" s="1"/>
  <c r="C137" i="54" a="1"/>
  <c r="C137" i="54" s="1"/>
  <c r="C137" i="63" a="1"/>
  <c r="C137" i="63" s="1"/>
  <c r="C137" i="51" a="1"/>
  <c r="C137" i="51" s="1"/>
  <c r="C137" i="22" a="1"/>
  <c r="C137" i="22" s="1"/>
  <c r="C136" i="54" a="1"/>
  <c r="C136" i="54"/>
  <c r="C136" i="63" a="1"/>
  <c r="C136" i="63" s="1"/>
  <c r="C136" i="51" a="1"/>
  <c r="C136" i="51" s="1"/>
  <c r="C136" i="22" a="1"/>
  <c r="C136" i="22" s="1"/>
  <c r="C135" i="54" a="1"/>
  <c r="C135" i="54" s="1"/>
  <c r="C135" i="63" a="1"/>
  <c r="C135" i="63" s="1"/>
  <c r="C135" i="51" a="1"/>
  <c r="C135" i="51" s="1"/>
  <c r="C135" i="22" a="1"/>
  <c r="C135" i="22" s="1"/>
  <c r="C157" i="54" a="1"/>
  <c r="C157" i="54" s="1"/>
  <c r="C157" i="63" a="1"/>
  <c r="C157" i="63" s="1"/>
  <c r="C157" i="51" a="1"/>
  <c r="C157" i="51" s="1"/>
  <c r="C157" i="22" a="1"/>
  <c r="C157" i="22" s="1"/>
  <c r="C133" i="54" a="1"/>
  <c r="C133" i="54"/>
  <c r="C133" i="63" a="1"/>
  <c r="C133" i="63"/>
  <c r="C133" i="51" a="1"/>
  <c r="C133" i="51"/>
  <c r="C133" i="22" a="1"/>
  <c r="C133" i="22"/>
  <c r="C132" i="54" a="1"/>
  <c r="C132" i="54"/>
  <c r="C132" i="63" a="1"/>
  <c r="C132" i="63" s="1"/>
  <c r="C132" i="51" a="1"/>
  <c r="C132" i="51" s="1"/>
  <c r="C132" i="22" a="1"/>
  <c r="C132" i="22"/>
  <c r="C131" i="54" a="1"/>
  <c r="C131" i="54"/>
  <c r="C131" i="63" a="1"/>
  <c r="C131" i="63" s="1"/>
  <c r="C131" i="51" a="1"/>
  <c r="C131" i="51" s="1"/>
  <c r="C131" i="22" a="1"/>
  <c r="C131" i="22" s="1"/>
  <c r="C130" i="54" a="1"/>
  <c r="C130" i="54" s="1"/>
  <c r="C130" i="63" a="1"/>
  <c r="C130" i="63" s="1"/>
  <c r="C130" i="51" a="1"/>
  <c r="C130" i="51" s="1"/>
  <c r="C130" i="22" a="1"/>
  <c r="C130" i="22" s="1"/>
  <c r="C129" i="54" a="1"/>
  <c r="C129" i="54"/>
  <c r="C129" i="63" a="1"/>
  <c r="C129" i="63" s="1"/>
  <c r="C129" i="51" a="1"/>
  <c r="C129" i="51" s="1"/>
  <c r="C129" i="22" a="1"/>
  <c r="C129" i="22" s="1"/>
  <c r="C128" i="54" a="1"/>
  <c r="C128" i="54" s="1"/>
  <c r="C128" i="63" a="1"/>
  <c r="C128" i="63" s="1"/>
  <c r="C128" i="51" a="1"/>
  <c r="C128" i="51" s="1"/>
  <c r="C128" i="22" a="1"/>
  <c r="C128" i="22" s="1"/>
  <c r="C124" i="54" a="1"/>
  <c r="C124" i="54" s="1"/>
  <c r="C124" i="63" a="1"/>
  <c r="C124" i="63" s="1"/>
  <c r="C124" i="51" a="1"/>
  <c r="C124" i="51" s="1"/>
  <c r="C124" i="22" a="1"/>
  <c r="C124" i="22" s="1"/>
  <c r="C125" i="54" a="1"/>
  <c r="C125" i="54" s="1"/>
  <c r="C125" i="63" a="1"/>
  <c r="C125" i="63" s="1"/>
  <c r="C125" i="51" a="1"/>
  <c r="C125" i="51" s="1"/>
  <c r="C125" i="22" a="1"/>
  <c r="C125" i="22" s="1"/>
  <c r="C126" i="54" a="1"/>
  <c r="C126" i="54"/>
  <c r="C126" i="63" a="1"/>
  <c r="C126" i="63" s="1"/>
  <c r="C126" i="51" a="1"/>
  <c r="C126" i="51" s="1"/>
  <c r="C126" i="22" a="1"/>
  <c r="C126" i="22" s="1"/>
  <c r="C127" i="54" a="1"/>
  <c r="C127" i="54"/>
  <c r="C127" i="63" a="1"/>
  <c r="C127" i="63"/>
  <c r="C127" i="51" a="1"/>
  <c r="C127" i="51"/>
  <c r="C127" i="22" a="1"/>
  <c r="C127" i="22" s="1"/>
  <c r="C166" i="54" l="1"/>
  <c r="C166" i="51"/>
  <c r="C166" i="63"/>
  <c r="C166" i="22"/>
  <c r="C199" i="63"/>
  <c r="G166" i="63"/>
  <c r="G133" i="63"/>
  <c r="G144" i="63"/>
  <c r="G210" i="63"/>
  <c r="C221" i="63"/>
  <c r="G232" i="63"/>
  <c r="C155" i="63"/>
  <c r="C177" i="63"/>
  <c r="G188" i="63"/>
  <c r="G234" i="63"/>
  <c r="C134" i="63"/>
  <c r="C144" i="63"/>
  <c r="G177" i="63"/>
  <c r="C188" i="63"/>
  <c r="C210" i="63"/>
  <c r="C232" i="63"/>
  <c r="G199" i="63"/>
  <c r="G221" i="63"/>
  <c r="C243" i="63"/>
  <c r="G155" i="63"/>
  <c r="E248" i="6" a="1"/>
  <c r="D248" i="6" a="1"/>
  <c r="B248" i="6" a="1"/>
  <c r="F248" i="6" a="1"/>
  <c r="C248" i="6" a="1"/>
  <c r="B248" i="6" l="1"/>
  <c r="C248" i="6"/>
  <c r="C188" i="22"/>
  <c r="F248" i="6"/>
  <c r="E248" i="6"/>
  <c r="D248" i="6"/>
  <c r="C210" i="54" l="1"/>
  <c r="G188" i="22"/>
  <c r="G144" i="51"/>
  <c r="C210" i="22"/>
  <c r="C221" i="54"/>
  <c r="G188" i="54"/>
  <c r="C144" i="54"/>
  <c r="G221" i="51"/>
  <c r="G199" i="51"/>
  <c r="G188" i="51"/>
  <c r="G210" i="54"/>
  <c r="C244" i="6"/>
  <c r="G232" i="22"/>
  <c r="G221" i="54"/>
  <c r="C232" i="51"/>
  <c r="G166" i="54"/>
  <c r="C155" i="54"/>
  <c r="C155" i="51"/>
  <c r="C144" i="51"/>
  <c r="C199" i="51"/>
  <c r="G221" i="22"/>
  <c r="G232" i="54"/>
  <c r="G199" i="54"/>
  <c r="G155" i="54"/>
  <c r="C188" i="54"/>
  <c r="G166" i="22"/>
  <c r="G133" i="54"/>
  <c r="G155" i="22"/>
  <c r="C199" i="22"/>
  <c r="C188" i="51"/>
  <c r="G177" i="22"/>
  <c r="C210" i="51"/>
  <c r="C177" i="54"/>
  <c r="C177" i="22"/>
  <c r="G177" i="51"/>
  <c r="C232" i="22"/>
  <c r="C221" i="51"/>
  <c r="C221" i="22"/>
  <c r="C155" i="22"/>
  <c r="C232" i="54"/>
  <c r="G210" i="51"/>
  <c r="C243" i="51"/>
  <c r="G133" i="51"/>
  <c r="G166" i="51"/>
  <c r="C177" i="51"/>
  <c r="G199" i="22"/>
  <c r="C243" i="22"/>
  <c r="G177" i="54"/>
  <c r="C134" i="54"/>
  <c r="G234" i="54"/>
  <c r="G144" i="22"/>
  <c r="G144" i="54"/>
  <c r="C144" i="22"/>
  <c r="C134" i="51"/>
  <c r="G234" i="51"/>
  <c r="G155" i="51"/>
  <c r="C199" i="54"/>
  <c r="C134" i="22"/>
  <c r="G234" i="22"/>
  <c r="G210" i="22"/>
  <c r="G133" i="22"/>
  <c r="G232" i="51"/>
  <c r="C243" i="5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<sst xmlns="http://schemas.openxmlformats.org/spreadsheetml/2006/main" count="5698" uniqueCount="261">
  <si>
    <t>Office of the University Registrar</t>
  </si>
  <si>
    <t>1. TOR</t>
  </si>
  <si>
    <t>2. HD</t>
  </si>
  <si>
    <t>3. CAV</t>
  </si>
  <si>
    <t>4.Certification</t>
  </si>
  <si>
    <t>5. Evaluation</t>
  </si>
  <si>
    <t>8. WES</t>
  </si>
  <si>
    <t>4a. Offically Enrolled</t>
  </si>
  <si>
    <t>4e.Subjects Enrolled</t>
  </si>
  <si>
    <t>4i. English Medium</t>
  </si>
  <si>
    <t>6. Form 137</t>
  </si>
  <si>
    <t>9. Permit to study</t>
  </si>
  <si>
    <t>4b. GPA</t>
  </si>
  <si>
    <t>4f. CAR</t>
  </si>
  <si>
    <t>4j. Grading System</t>
  </si>
  <si>
    <t>7. Diploma Replacement</t>
  </si>
  <si>
    <t>10. Verification</t>
  </si>
  <si>
    <t xml:space="preserve">4c.  Graduated </t>
  </si>
  <si>
    <t>4g. Subjects w/ grades</t>
  </si>
  <si>
    <t>4k. Cum Laude</t>
  </si>
  <si>
    <t>4d. Earned Units</t>
  </si>
  <si>
    <t>4h. USTP conversion</t>
  </si>
  <si>
    <t>4l. Graduating</t>
  </si>
  <si>
    <t>No.</t>
  </si>
  <si>
    <t>Name</t>
  </si>
  <si>
    <t>Course</t>
  </si>
  <si>
    <r>
      <t>Put (</t>
    </r>
    <r>
      <rPr>
        <b/>
        <sz val="11"/>
        <rFont val="Wingdings"/>
        <charset val="2"/>
      </rPr>
      <t>ü</t>
    </r>
    <r>
      <rPr>
        <b/>
        <sz val="11"/>
        <rFont val="Aptos Narrow"/>
        <family val="2"/>
        <scheme val="minor"/>
      </rPr>
      <t>) if Graduated in 2018 onwards</t>
    </r>
  </si>
  <si>
    <t>Credential Requested</t>
  </si>
  <si>
    <t>Purpose</t>
  </si>
  <si>
    <t>Date Requested</t>
  </si>
  <si>
    <t>Scheduled Date for Release</t>
  </si>
  <si>
    <t>Date Claimed</t>
  </si>
  <si>
    <t>Printed Name &amp; Signature</t>
  </si>
  <si>
    <t>For Evaluation</t>
  </si>
  <si>
    <t>For Scholarship</t>
  </si>
  <si>
    <t>For Passport</t>
  </si>
  <si>
    <t>For Board Exam</t>
  </si>
  <si>
    <t>For Employment</t>
  </si>
  <si>
    <t>For Personal File</t>
  </si>
  <si>
    <t>For Advanced Studies</t>
  </si>
  <si>
    <t>For Ranking</t>
  </si>
  <si>
    <t>Others (Specify)</t>
  </si>
  <si>
    <t>4a. Officialy Enrolled</t>
  </si>
  <si>
    <t>4c. Graduated</t>
  </si>
  <si>
    <t>4e. Subjects Enrolled</t>
  </si>
  <si>
    <t>9. Permit to Study</t>
  </si>
  <si>
    <t>4g. Subjects with grades</t>
  </si>
  <si>
    <t>4h. USTP Conversion</t>
  </si>
  <si>
    <t>Total Requests</t>
  </si>
  <si>
    <t>TOR-Granted</t>
  </si>
  <si>
    <t>WINDOW 1</t>
  </si>
  <si>
    <t>WINDOW 2</t>
  </si>
  <si>
    <t>WINDOW 3</t>
  </si>
  <si>
    <t>WINDOW 4</t>
  </si>
  <si>
    <t>WINDOW 5</t>
  </si>
  <si>
    <t>Processing Time</t>
  </si>
  <si>
    <t xml:space="preserve">Board Exam </t>
  </si>
  <si>
    <t xml:space="preserve">Employment </t>
  </si>
  <si>
    <t>4a</t>
  </si>
  <si>
    <t xml:space="preserve">Scholarship </t>
  </si>
  <si>
    <t xml:space="preserve">TOR-Granted </t>
  </si>
  <si>
    <t>Latin Honor</t>
  </si>
  <si>
    <t xml:space="preserve">Evaluation </t>
  </si>
  <si>
    <t xml:space="preserve">     Board Exam </t>
  </si>
  <si>
    <t xml:space="preserve">    Employment </t>
  </si>
  <si>
    <t xml:space="preserve">    Evaluation </t>
  </si>
  <si>
    <t xml:space="preserve">;Latin Honor </t>
  </si>
  <si>
    <t xml:space="preserve">personal Fi;Le </t>
  </si>
  <si>
    <t>4h</t>
  </si>
  <si>
    <t xml:space="preserve">   F105TOR-Granted </t>
  </si>
  <si>
    <t xml:space="preserve">   Employment </t>
  </si>
  <si>
    <t>4g</t>
  </si>
  <si>
    <t xml:space="preserve">    Scholarship </t>
  </si>
  <si>
    <t xml:space="preserve">   Board Exam </t>
  </si>
  <si>
    <t xml:space="preserve">  Personal file </t>
  </si>
  <si>
    <t xml:space="preserve">  Board Exam </t>
  </si>
  <si>
    <t xml:space="preserve">Personal File </t>
  </si>
  <si>
    <t>4i</t>
  </si>
  <si>
    <t xml:space="preserve">Schoalrship </t>
  </si>
  <si>
    <t>4f</t>
  </si>
  <si>
    <t>CAR</t>
  </si>
  <si>
    <t xml:space="preserve"> </t>
  </si>
  <si>
    <t>Assistance</t>
  </si>
  <si>
    <t>Advanced Studies</t>
  </si>
  <si>
    <t>Admission Req.</t>
  </si>
  <si>
    <t>Ranking</t>
  </si>
  <si>
    <t>CSC</t>
  </si>
  <si>
    <t>3,4</t>
  </si>
  <si>
    <t>World Citi Colleges</t>
  </si>
  <si>
    <t>Educational Assistance</t>
  </si>
  <si>
    <t xml:space="preserve">4g </t>
  </si>
  <si>
    <t>4b</t>
  </si>
  <si>
    <t xml:space="preserve">4f </t>
  </si>
  <si>
    <t>Employment</t>
  </si>
  <si>
    <t xml:space="preserve">Ranking </t>
  </si>
  <si>
    <t xml:space="preserve">Advanced Studies </t>
  </si>
  <si>
    <t>9/1/20/2025</t>
  </si>
  <si>
    <t xml:space="preserve">Latin Honor </t>
  </si>
  <si>
    <t xml:space="preserve">NSTP Serial No, </t>
  </si>
  <si>
    <t xml:space="preserve">   </t>
  </si>
  <si>
    <t xml:space="preserve">     4c </t>
  </si>
  <si>
    <t>Ro</t>
  </si>
  <si>
    <t xml:space="preserve">4c </t>
  </si>
  <si>
    <t xml:space="preserve">4I </t>
  </si>
  <si>
    <t>4I</t>
  </si>
  <si>
    <t xml:space="preserve">Latin Honot </t>
  </si>
  <si>
    <t xml:space="preserve">4a </t>
  </si>
  <si>
    <t xml:space="preserve">TOR-   Granted </t>
  </si>
  <si>
    <t xml:space="preserve">4b </t>
  </si>
  <si>
    <t xml:space="preserve">4f  </t>
  </si>
  <si>
    <t xml:space="preserve">     </t>
  </si>
  <si>
    <t>Scholarship</t>
  </si>
  <si>
    <t>4d</t>
  </si>
  <si>
    <t>1,4h</t>
  </si>
  <si>
    <t>1,2</t>
  </si>
  <si>
    <t>Cash Assistance</t>
  </si>
  <si>
    <t>BOARD EXAM</t>
  </si>
  <si>
    <t>4A</t>
  </si>
  <si>
    <t>LATIN HONOR</t>
  </si>
  <si>
    <t>EMPLOYMENT</t>
  </si>
  <si>
    <t>PERSONAL FILE</t>
  </si>
  <si>
    <t>EVALUATION</t>
  </si>
  <si>
    <t>4G</t>
  </si>
  <si>
    <t>4F</t>
  </si>
  <si>
    <t>AFPSAT</t>
  </si>
  <si>
    <t>4B,4I</t>
  </si>
  <si>
    <t>1,4C</t>
  </si>
  <si>
    <t>STUDENT VISA</t>
  </si>
  <si>
    <t xml:space="preserve">  </t>
  </si>
  <si>
    <t xml:space="preserve">Cash Assistance </t>
  </si>
  <si>
    <t xml:space="preserve">     Promotion </t>
  </si>
  <si>
    <t>RANKING</t>
  </si>
  <si>
    <t>4e</t>
  </si>
  <si>
    <t>Civel Service Eligibility</t>
  </si>
  <si>
    <t>College Admisswion</t>
  </si>
  <si>
    <t>College Admission</t>
  </si>
  <si>
    <t>Board Exam</t>
  </si>
  <si>
    <t xml:space="preserve">Promotion </t>
  </si>
  <si>
    <t>Evaluation</t>
  </si>
  <si>
    <t>A</t>
  </si>
  <si>
    <t>4c</t>
  </si>
  <si>
    <t xml:space="preserve"> B</t>
  </si>
  <si>
    <t>WES</t>
  </si>
  <si>
    <t>Civil Service</t>
  </si>
  <si>
    <t>JN</t>
  </si>
  <si>
    <t xml:space="preserve">Letter of No Objection </t>
  </si>
  <si>
    <t>GSIS</t>
  </si>
  <si>
    <t xml:space="preserve">3 days </t>
  </si>
  <si>
    <t>Promotion</t>
  </si>
  <si>
    <t>RUSH</t>
  </si>
  <si>
    <t xml:space="preserve"> Scholarship</t>
  </si>
  <si>
    <t>CHED Sikap</t>
  </si>
  <si>
    <t xml:space="preserve">PNP Application </t>
  </si>
  <si>
    <t xml:space="preserve">Cash Asistance </t>
  </si>
  <si>
    <t>nm , mn</t>
  </si>
  <si>
    <t xml:space="preserve">Letter of No Objerction </t>
  </si>
  <si>
    <t xml:space="preserve">AUTHENTICATION </t>
  </si>
  <si>
    <t xml:space="preserve">No of copies </t>
  </si>
  <si>
    <t>No of Cpoies</t>
  </si>
  <si>
    <t>Person 1</t>
  </si>
  <si>
    <t>Person 2</t>
  </si>
  <si>
    <t>Person 3</t>
  </si>
  <si>
    <t>Person 4</t>
  </si>
  <si>
    <t>Person 5</t>
  </si>
  <si>
    <t>Person 6</t>
  </si>
  <si>
    <t>Person 7</t>
  </si>
  <si>
    <t>Person 8</t>
  </si>
  <si>
    <t>Person 9</t>
  </si>
  <si>
    <t>Person 10</t>
  </si>
  <si>
    <t>Person 11</t>
  </si>
  <si>
    <t>Person 12</t>
  </si>
  <si>
    <t>Person 13</t>
  </si>
  <si>
    <t>Person 14</t>
  </si>
  <si>
    <t>Person 15</t>
  </si>
  <si>
    <t>Person 16</t>
  </si>
  <si>
    <t>Person 17</t>
  </si>
  <si>
    <t>Person 18</t>
  </si>
  <si>
    <t>Person 19</t>
  </si>
  <si>
    <t>Person 20</t>
  </si>
  <si>
    <t>Person 21</t>
  </si>
  <si>
    <t>Person 22</t>
  </si>
  <si>
    <t>Person 23</t>
  </si>
  <si>
    <t>Person 24</t>
  </si>
  <si>
    <t>Person 25</t>
  </si>
  <si>
    <t>Person 26</t>
  </si>
  <si>
    <t>Person 27</t>
  </si>
  <si>
    <t>Person 28</t>
  </si>
  <si>
    <t>Person 29</t>
  </si>
  <si>
    <t>Person 30</t>
  </si>
  <si>
    <t>Person 31</t>
  </si>
  <si>
    <t>Person 32</t>
  </si>
  <si>
    <t>Person 33</t>
  </si>
  <si>
    <t>Person 34</t>
  </si>
  <si>
    <t>Person 35</t>
  </si>
  <si>
    <t>Person 36</t>
  </si>
  <si>
    <t>Person 37</t>
  </si>
  <si>
    <t>Person 38</t>
  </si>
  <si>
    <t>Person 39</t>
  </si>
  <si>
    <t>Person 40</t>
  </si>
  <si>
    <t>Person 41</t>
  </si>
  <si>
    <t>Person 42</t>
  </si>
  <si>
    <t>Person 43</t>
  </si>
  <si>
    <t>Person 44</t>
  </si>
  <si>
    <t>Person 45</t>
  </si>
  <si>
    <t>Person 46</t>
  </si>
  <si>
    <t>Person 47</t>
  </si>
  <si>
    <t>Person 48</t>
  </si>
  <si>
    <t>Person 49</t>
  </si>
  <si>
    <t>Person 50</t>
  </si>
  <si>
    <t>Person 51</t>
  </si>
  <si>
    <t>Person 52</t>
  </si>
  <si>
    <t>Person 53</t>
  </si>
  <si>
    <t>Person 54</t>
  </si>
  <si>
    <t>Person 55</t>
  </si>
  <si>
    <t>Person 56</t>
  </si>
  <si>
    <t>Person 57</t>
  </si>
  <si>
    <t>Person 58</t>
  </si>
  <si>
    <t>Person 59</t>
  </si>
  <si>
    <t>Person 60</t>
  </si>
  <si>
    <t>Person 61</t>
  </si>
  <si>
    <t>Person 62</t>
  </si>
  <si>
    <t>Person 63</t>
  </si>
  <si>
    <t>Person 64</t>
  </si>
  <si>
    <t>Person 65</t>
  </si>
  <si>
    <t>Person 66</t>
  </si>
  <si>
    <t>Person 67</t>
  </si>
  <si>
    <t>Person 68</t>
  </si>
  <si>
    <t>Person 69</t>
  </si>
  <si>
    <t>Person 70</t>
  </si>
  <si>
    <t>Person 71</t>
  </si>
  <si>
    <t>Person 72</t>
  </si>
  <si>
    <t>Person 73</t>
  </si>
  <si>
    <t>Person 74</t>
  </si>
  <si>
    <t>Person 75</t>
  </si>
  <si>
    <t>Person 76</t>
  </si>
  <si>
    <t>Person 77</t>
  </si>
  <si>
    <t>Person 78</t>
  </si>
  <si>
    <t>Person 79</t>
  </si>
  <si>
    <t>Person 80</t>
  </si>
  <si>
    <t>Person 81</t>
  </si>
  <si>
    <t>Person 82</t>
  </si>
  <si>
    <t>Person 83</t>
  </si>
  <si>
    <t>Person 84</t>
  </si>
  <si>
    <t>Person 85</t>
  </si>
  <si>
    <t>Person 86</t>
  </si>
  <si>
    <t>Person 87</t>
  </si>
  <si>
    <t>Person 88</t>
  </si>
  <si>
    <t>Person 89</t>
  </si>
  <si>
    <t>Person 90</t>
  </si>
  <si>
    <t>Person 91</t>
  </si>
  <si>
    <t>Person 92</t>
  </si>
  <si>
    <t>Person 93</t>
  </si>
  <si>
    <t>Person 94</t>
  </si>
  <si>
    <t>Person 95</t>
  </si>
  <si>
    <t>Person 96</t>
  </si>
  <si>
    <t>Person 97</t>
  </si>
  <si>
    <t>Person 98</t>
  </si>
  <si>
    <t>Person 99</t>
  </si>
  <si>
    <t>Person 100</t>
  </si>
  <si>
    <t>Person 101</t>
  </si>
  <si>
    <t>Person 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</si>
</sst>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 d\,\ yyyy;@"/>
  </numFmts>
  <fonts count="1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sz val="18"/>
      <name val="Berlin Sans FB Demi"/>
      <family val="2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name val="Wingdings"/>
      <charset val="2"/>
    </font>
    <font>
      <b/>
      <sz val="10"/>
      <name val="Aptos Narrow"/>
      <family val="2"/>
      <scheme val="minor"/>
    </font>
    <font>
      <sz val="11"/>
      <color theme="1"/>
      <name val="Wingdings"/>
      <charset val="2"/>
    </font>
    <font>
      <sz val="8"/>
      <name val="Aptos Narrow"/>
      <family val="2"/>
      <scheme val="minor"/>
    </font>
    <font>
      <sz val="11"/>
      <color theme="1"/>
      <name val="Aptos Narrow"/>
      <scheme val="minor"/>
    </font>
    <font>
      <sz val="8"/>
      <color theme="1"/>
      <name val="Aptos Narrow"/>
      <family val="2"/>
      <scheme val="minor"/>
    </font>
    <font>
      <sz val="10"/>
      <name val="Aptos Narrow"/>
      <family val="2"/>
      <scheme val="minor"/>
    </font>
    <font>
      <sz val="10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/>
  </cellStyleXfs>
  <cellXfs count="64">
    <xf numFmtId="0" fontId="0" fillId="0" borderId="0" xfId="0"/>
    <xf numFmtId="14" fontId="4" fillId="0" borderId="2" xfId="1" applyNumberFormat="1" applyFont="1" applyBorder="1" applyAlignment="1">
      <alignment vertical="center"/>
    </xf>
    <xf numFmtId="0" fontId="4" fillId="0" borderId="2" xfId="1" applyFont="1" applyBorder="1" applyAlignment="1">
      <alignment vertical="center" shrinkToFit="1"/>
    </xf>
    <xf numFmtId="0" fontId="4" fillId="0" borderId="2" xfId="1" applyFont="1" applyBorder="1" applyAlignment="1">
      <alignment horizontal="left" vertical="center"/>
    </xf>
    <xf numFmtId="0" fontId="4" fillId="0" borderId="2" xfId="1" applyFont="1" applyBorder="1" applyAlignment="1">
      <alignment horizontal="center" vertical="center"/>
    </xf>
    <xf numFmtId="14" fontId="4" fillId="0" borderId="2" xfId="1" applyNumberFormat="1" applyFont="1" applyBorder="1" applyAlignment="1">
      <alignment horizontal="center" vertical="center"/>
    </xf>
    <xf numFmtId="14" fontId="4" fillId="0" borderId="2" xfId="1" applyNumberFormat="1" applyFont="1" applyBorder="1" applyAlignment="1">
      <alignment horizontal="left" vertical="center"/>
    </xf>
    <xf numFmtId="0" fontId="4" fillId="0" borderId="2" xfId="1" applyFont="1" applyBorder="1" applyAlignment="1">
      <alignment vertical="center"/>
    </xf>
    <xf numFmtId="14" fontId="4" fillId="0" borderId="2" xfId="1" applyNumberFormat="1" applyFont="1" applyBorder="1" applyAlignment="1">
      <alignment horizontal="center" vertical="center" shrinkToFit="1"/>
    </xf>
    <xf numFmtId="14" fontId="4" fillId="0" borderId="2" xfId="1" applyNumberFormat="1" applyFont="1" applyBorder="1" applyAlignment="1">
      <alignment vertical="center" shrinkToFit="1"/>
    </xf>
    <xf numFmtId="0" fontId="4" fillId="0" borderId="2" xfId="1" applyFont="1" applyBorder="1" applyAlignment="1">
      <alignment horizontal="center" vertical="center" shrinkToFit="1"/>
    </xf>
    <xf numFmtId="0" fontId="5" fillId="2" borderId="2" xfId="1" applyFont="1" applyFill="1" applyBorder="1" applyAlignment="1">
      <alignment horizontal="center" vertical="center" wrapText="1"/>
    </xf>
    <xf numFmtId="0" fontId="0" fillId="0" borderId="2" xfId="0" applyBorder="1" applyAlignment="1">
      <alignment shrinkToFit="1"/>
    </xf>
    <xf numFmtId="0" fontId="0" fillId="0" borderId="2" xfId="0" applyBorder="1" applyAlignment="1">
      <alignment vertical="center" shrinkToFit="1"/>
    </xf>
    <xf numFmtId="0" fontId="0" fillId="0" borderId="2" xfId="0" applyBorder="1" applyAlignment="1">
      <alignment horizontal="left" vertical="center" shrinkToFit="1"/>
    </xf>
    <xf numFmtId="0" fontId="8" fillId="0" borderId="2" xfId="0" applyFont="1" applyBorder="1" applyAlignment="1">
      <alignment horizontal="center" shrinkToFit="1"/>
    </xf>
    <xf numFmtId="0" fontId="0" fillId="0" borderId="2" xfId="0" applyBorder="1" applyAlignment="1">
      <alignment horizontal="center" vertical="center" shrinkToFit="1"/>
    </xf>
    <xf numFmtId="0" fontId="0" fillId="0" borderId="2" xfId="0" applyBorder="1" applyAlignment="1">
      <alignment horizontal="center"/>
    </xf>
    <xf numFmtId="14" fontId="0" fillId="0" borderId="2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 shrinkToFit="1"/>
    </xf>
    <xf numFmtId="0" fontId="0" fillId="0" borderId="2" xfId="0" applyBorder="1"/>
    <xf numFmtId="0" fontId="0" fillId="0" borderId="2" xfId="0" applyBorder="1" applyAlignment="1">
      <alignment horizontal="left"/>
    </xf>
    <xf numFmtId="14" fontId="0" fillId="0" borderId="2" xfId="0" applyNumberFormat="1" applyBorder="1" applyAlignment="1">
      <alignment vertical="center"/>
    </xf>
    <xf numFmtId="0" fontId="0" fillId="0" borderId="2" xfId="0" applyBorder="1" applyAlignment="1">
      <alignment vertical="center"/>
    </xf>
    <xf numFmtId="0" fontId="1" fillId="2" borderId="2" xfId="0" applyFont="1" applyFill="1" applyBorder="1"/>
    <xf numFmtId="0" fontId="1" fillId="3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center" vertical="center" shrinkToFit="1"/>
    </xf>
    <xf numFmtId="0" fontId="0" fillId="0" borderId="2" xfId="0" applyBorder="1" applyAlignment="1">
      <alignment horizontal="right"/>
    </xf>
    <xf numFmtId="0" fontId="0" fillId="2" borderId="2" xfId="0" applyFill="1" applyBorder="1"/>
    <xf numFmtId="0" fontId="1" fillId="3" borderId="2" xfId="0" applyFont="1" applyFill="1" applyBorder="1"/>
    <xf numFmtId="0" fontId="1" fillId="2" borderId="2" xfId="0" applyFont="1" applyFill="1" applyBorder="1" applyAlignment="1">
      <alignment shrinkToFit="1"/>
    </xf>
    <xf numFmtId="0" fontId="0" fillId="0" borderId="2" xfId="0" applyBorder="1" applyAlignment="1">
      <alignment horizontal="right" vertical="center" shrinkToFit="1"/>
    </xf>
    <xf numFmtId="0" fontId="1" fillId="3" borderId="2" xfId="0" applyFont="1" applyFill="1" applyBorder="1" applyAlignment="1">
      <alignment horizontal="right" vertical="center" shrinkToFit="1"/>
    </xf>
    <xf numFmtId="0" fontId="0" fillId="3" borderId="2" xfId="0" applyFill="1" applyBorder="1" applyAlignment="1">
      <alignment horizontal="right"/>
    </xf>
    <xf numFmtId="0" fontId="0" fillId="3" borderId="2" xfId="0" applyFill="1" applyBorder="1" applyAlignment="1">
      <alignment horizontal="center"/>
    </xf>
    <xf numFmtId="0" fontId="5" fillId="4" borderId="2" xfId="1" applyFont="1" applyFill="1" applyBorder="1" applyAlignment="1">
      <alignment horizontal="center" vertical="center"/>
    </xf>
    <xf numFmtId="0" fontId="5" fillId="4" borderId="2" xfId="1" applyFont="1" applyFill="1" applyBorder="1" applyAlignment="1">
      <alignment horizontal="center" vertical="center" wrapText="1"/>
    </xf>
    <xf numFmtId="14" fontId="0" fillId="0" borderId="2" xfId="0" applyNumberFormat="1" applyBorder="1" applyAlignment="1">
      <alignment horizontal="center"/>
    </xf>
    <xf numFmtId="0" fontId="7" fillId="4" borderId="2" xfId="1" applyFont="1" applyFill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14" fontId="0" fillId="0" borderId="2" xfId="0" applyNumberFormat="1" applyBorder="1"/>
    <xf numFmtId="0" fontId="6" fillId="2" borderId="2" xfId="1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10" fillId="0" borderId="2" xfId="0" applyFont="1" applyBorder="1"/>
    <xf numFmtId="0" fontId="11" fillId="0" borderId="2" xfId="0" applyFont="1" applyBorder="1"/>
    <xf numFmtId="0" fontId="0" fillId="0" borderId="2" xfId="0" applyFill="1" applyBorder="1"/>
    <xf numFmtId="0" fontId="0" fillId="0" borderId="3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4" xfId="0" applyBorder="1"/>
    <xf numFmtId="14" fontId="4" fillId="0" borderId="2" xfId="1" applyNumberFormat="1" applyFont="1" applyBorder="1" applyAlignment="1">
      <alignment horizontal="center" vertical="center"/>
    </xf>
    <xf numFmtId="0" fontId="4" fillId="0" borderId="2" xfId="1" applyFont="1" applyFill="1" applyBorder="1" applyAlignment="1">
      <alignment vertical="center" shrinkToFit="1"/>
    </xf>
    <xf numFmtId="0" fontId="4" fillId="0" borderId="2" xfId="1" applyFont="1" applyFill="1" applyBorder="1" applyAlignment="1">
      <alignment horizontal="left" vertical="center"/>
    </xf>
    <xf numFmtId="14" fontId="12" fillId="0" borderId="2" xfId="1" applyNumberFormat="1" applyFont="1" applyFill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2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6" fillId="0" borderId="2" xfId="1" applyFont="1" applyBorder="1" applyAlignment="1">
      <alignment vertical="center" wrapText="1"/>
    </xf>
    <xf numFmtId="164" fontId="3" fillId="0" borderId="0" xfId="1" applyNumberFormat="1" applyFont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4" fillId="0" borderId="2" xfId="1" applyNumberFormat="1" applyFont="1" applyBorder="1" applyAlignment="1">
      <alignment horizontal="center" vertical="center"/>
    </xf>
    <xf numFmtId="0" fontId="4" fillId="0" borderId="2" xfId="1" applyFont="1" applyBorder="1" applyAlignment="1">
      <alignment horizontal="left" vertical="center" shrinkToFit="1"/>
    </xf>
    <xf numFmtId="0" fontId="5" fillId="0" borderId="2" xfId="1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10"/>
  <sheetViews>
    <sheetView zoomScale="98" zoomScaleNormal="45" workbookViewId="0">
      <selection activeCell="H24" activeCellId="1" sqref="H19 H24"/>
    </sheetView>
  </sheetViews>
  <sheetFormatPr defaultRowHeight="13.8"/>
  <cols>
    <col min="1" max="1" width="4.09765625" customWidth="1"/>
    <col min="2" max="2" width="20.3984375" customWidth="1"/>
    <col min="3" max="3" width="7.59765625" customWidth="1"/>
    <col min="4" max="4" width="9" customWidth="1"/>
    <col min="5" max="5" width="7.5" customWidth="1"/>
    <col min="6" max="6" width="14.69921875" customWidth="1"/>
    <col min="7" max="7" width="12.19921875" customWidth="1"/>
    <col min="8" max="8" width="11.59765625" customWidth="1"/>
    <col min="9" max="9" width="11.69921875" customWidth="1"/>
  </cols>
  <sheetData>
    <row r="1" spans="1:12" ht="22.2">
      <c r="A1" s="58">
        <v>45901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2">
      <c r="A2" s="59" t="s">
        <v>0</v>
      </c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6"/>
      <c r="L3" s="6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9"/>
      <c r="L4" s="9"/>
    </row>
    <row r="5" spans="1:12" ht="14.25" customHeight="1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2"/>
      <c r="L5" s="2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9"/>
      <c r="L6" s="9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"/>
      <c r="L7" s="2"/>
    </row>
    <row r="8" spans="1:12" ht="55.2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/>
      <c r="K8" s="38" t="s">
        <v>32</v>
      </c>
      <c r="L8" s="36"/>
    </row>
    <row r="9" spans="1:12">
      <c r="A9" s="12">
        <v>1</v>
      </c>
      <c r="B9" s="20" t="s">
        <v>159</v>
      </c>
      <c r="C9" s="20"/>
      <c r="D9" s="20"/>
      <c r="E9" s="17">
        <v>2</v>
      </c>
      <c r="F9" s="20" t="s">
        <v>63</v>
      </c>
      <c r="G9" s="37">
        <v>45888</v>
      </c>
      <c r="H9" s="37">
        <v>45901</v>
      </c>
      <c r="I9" s="20"/>
      <c r="J9" s="20"/>
      <c r="K9" s="20"/>
      <c r="L9" s="20"/>
    </row>
    <row r="10" spans="1:12">
      <c r="A10" s="12">
        <v>2</v>
      </c>
      <c r="B10" s="20" t="s">
        <v>160</v>
      </c>
      <c r="C10" s="20"/>
      <c r="D10" s="20"/>
      <c r="E10" s="17">
        <v>1</v>
      </c>
      <c r="F10" s="20" t="s">
        <v>69</v>
      </c>
      <c r="G10" s="37">
        <v>45888</v>
      </c>
      <c r="H10" s="37">
        <v>45901</v>
      </c>
      <c r="I10" s="20"/>
      <c r="J10" s="22"/>
      <c r="K10" s="23"/>
      <c r="L10" s="23"/>
    </row>
    <row r="11" spans="1:12">
      <c r="A11" s="12">
        <v>3</v>
      </c>
      <c r="B11" s="20" t="s">
        <v>161</v>
      </c>
      <c r="C11" s="20"/>
      <c r="D11" s="20"/>
      <c r="E11" s="17">
        <v>1</v>
      </c>
      <c r="F11" s="20" t="s">
        <v>63</v>
      </c>
      <c r="G11" s="37">
        <v>45888</v>
      </c>
      <c r="H11" s="37">
        <v>45901</v>
      </c>
      <c r="I11" s="20"/>
      <c r="J11" s="20"/>
      <c r="K11" s="20"/>
      <c r="L11" s="20"/>
    </row>
    <row r="12" spans="1:12">
      <c r="A12" s="12">
        <v>4</v>
      </c>
      <c r="B12" s="20" t="s">
        <v>162</v>
      </c>
      <c r="C12" s="14"/>
      <c r="D12" s="17"/>
      <c r="E12" s="17">
        <v>1</v>
      </c>
      <c r="F12" s="17" t="s">
        <v>62</v>
      </c>
      <c r="G12" s="37">
        <v>45888</v>
      </c>
      <c r="H12" s="37">
        <v>45901</v>
      </c>
      <c r="I12" s="20"/>
      <c r="J12" s="20"/>
      <c r="K12" s="20"/>
      <c r="L12" s="20"/>
    </row>
    <row r="13" spans="1:12">
      <c r="A13" s="12">
        <v>5</v>
      </c>
      <c r="B13" s="20" t="s">
        <v>163</v>
      </c>
      <c r="C13" s="20"/>
      <c r="D13" s="20"/>
      <c r="E13" s="17">
        <v>1</v>
      </c>
      <c r="F13" s="17" t="s">
        <v>57</v>
      </c>
      <c r="G13" s="37">
        <v>45888</v>
      </c>
      <c r="H13" s="37">
        <v>45901</v>
      </c>
      <c r="I13" s="20"/>
      <c r="J13" s="22"/>
      <c r="K13" s="23"/>
      <c r="L13" s="23"/>
    </row>
    <row r="14" spans="1:12">
      <c r="A14" s="12">
        <v>6</v>
      </c>
      <c r="B14" s="20" t="s">
        <v>164</v>
      </c>
      <c r="C14" s="20"/>
      <c r="D14" s="20"/>
      <c r="E14" s="17">
        <v>1</v>
      </c>
      <c r="F14" s="20" t="s">
        <v>63</v>
      </c>
      <c r="G14" s="37">
        <v>45888</v>
      </c>
      <c r="H14" s="37">
        <v>45901</v>
      </c>
      <c r="I14" s="20"/>
      <c r="J14" s="22"/>
      <c r="K14" s="23"/>
      <c r="L14" s="23"/>
    </row>
    <row r="15" spans="1:12">
      <c r="A15" s="12">
        <v>7</v>
      </c>
      <c r="B15" s="20" t="s">
        <v>165</v>
      </c>
      <c r="C15" s="21"/>
      <c r="D15" s="17"/>
      <c r="E15" s="16" t="s">
        <v>71</v>
      </c>
      <c r="F15" s="20" t="s">
        <v>65</v>
      </c>
      <c r="G15" s="37">
        <v>45888</v>
      </c>
      <c r="H15" s="37">
        <v>45901</v>
      </c>
      <c r="I15" s="20"/>
      <c r="J15" s="20"/>
      <c r="K15" s="20"/>
      <c r="L15" s="20"/>
    </row>
    <row r="16" spans="1:12">
      <c r="A16" s="12">
        <v>8</v>
      </c>
      <c r="B16" s="20" t="s">
        <v>166</v>
      </c>
      <c r="C16" s="21"/>
      <c r="D16" s="17"/>
      <c r="E16" s="16">
        <v>1</v>
      </c>
      <c r="F16" s="20" t="s">
        <v>70</v>
      </c>
      <c r="G16" s="37">
        <v>45888</v>
      </c>
      <c r="H16" s="37">
        <v>45901</v>
      </c>
      <c r="I16" s="20"/>
      <c r="J16" s="22"/>
      <c r="K16" s="23"/>
      <c r="L16" s="23"/>
    </row>
    <row r="17" spans="1:12">
      <c r="A17" s="12">
        <v>9</v>
      </c>
      <c r="B17" s="20" t="s">
        <v>167</v>
      </c>
      <c r="C17" s="20"/>
      <c r="D17" s="41"/>
      <c r="E17" s="17">
        <v>1</v>
      </c>
      <c r="F17" s="17" t="s">
        <v>56</v>
      </c>
      <c r="G17" s="37">
        <v>45888</v>
      </c>
      <c r="H17" s="37">
        <v>45901</v>
      </c>
      <c r="I17" s="20"/>
      <c r="J17" s="22"/>
      <c r="K17" s="23"/>
      <c r="L17" s="23"/>
    </row>
    <row r="18" spans="1:12">
      <c r="A18" s="12">
        <v>10</v>
      </c>
      <c r="B18" s="20" t="s">
        <v>168</v>
      </c>
      <c r="C18" s="20"/>
      <c r="D18" s="20"/>
      <c r="E18" s="17">
        <v>1</v>
      </c>
      <c r="F18" s="20" t="s">
        <v>63</v>
      </c>
      <c r="G18" s="37">
        <v>45888</v>
      </c>
      <c r="H18" s="37">
        <v>45901</v>
      </c>
      <c r="I18" s="20"/>
      <c r="J18" s="20"/>
      <c r="K18" s="20"/>
      <c r="L18" s="20"/>
    </row>
    <row r="19" spans="1:12">
      <c r="A19" s="12">
        <v>11</v>
      </c>
      <c r="B19" s="20" t="s">
        <v>169</v>
      </c>
      <c r="C19" s="20"/>
      <c r="D19" s="20"/>
      <c r="E19" s="17">
        <v>1</v>
      </c>
      <c r="F19" s="20" t="s">
        <v>63</v>
      </c>
      <c r="G19" s="37">
        <v>45888</v>
      </c>
      <c r="H19" s="37">
        <v>45901</v>
      </c>
      <c r="I19" s="20"/>
      <c r="J19" s="22"/>
      <c r="K19" s="20"/>
      <c r="L19" s="20"/>
    </row>
    <row r="20" spans="1:12">
      <c r="A20" s="12">
        <v>12</v>
      </c>
      <c r="B20" s="20" t="s">
        <v>170</v>
      </c>
      <c r="C20" s="20"/>
      <c r="D20" s="20"/>
      <c r="E20" s="17" t="s">
        <v>58</v>
      </c>
      <c r="F20" s="17" t="s">
        <v>59</v>
      </c>
      <c r="G20" s="37">
        <v>45888</v>
      </c>
      <c r="H20" s="37">
        <v>45901</v>
      </c>
      <c r="I20" s="20"/>
      <c r="J20" s="20"/>
      <c r="K20" s="23"/>
      <c r="L20" s="23"/>
    </row>
    <row r="21" spans="1:12">
      <c r="A21" s="12">
        <v>13</v>
      </c>
      <c r="B21" s="20" t="s">
        <v>171</v>
      </c>
      <c r="C21" s="21"/>
      <c r="D21" s="17"/>
      <c r="E21" s="16">
        <v>1</v>
      </c>
      <c r="F21" s="20" t="s">
        <v>72</v>
      </c>
      <c r="G21" s="37">
        <v>45888</v>
      </c>
      <c r="H21" s="37">
        <v>45901</v>
      </c>
      <c r="I21" s="20"/>
      <c r="J21" s="20"/>
      <c r="K21" s="23"/>
      <c r="L21" s="23"/>
    </row>
    <row r="22" spans="1:12">
      <c r="A22" s="12">
        <v>14</v>
      </c>
      <c r="B22" s="20" t="s">
        <v>172</v>
      </c>
      <c r="C22" s="21"/>
      <c r="D22" s="17"/>
      <c r="E22" s="16">
        <v>1</v>
      </c>
      <c r="F22" s="20" t="s">
        <v>72</v>
      </c>
      <c r="G22" s="37">
        <v>45888</v>
      </c>
      <c r="H22" s="37">
        <v>45901</v>
      </c>
      <c r="I22" s="20"/>
      <c r="J22" s="20"/>
      <c r="K22" s="20"/>
      <c r="L22" s="20"/>
    </row>
    <row r="23" spans="1:12">
      <c r="A23" s="12">
        <v>15</v>
      </c>
      <c r="B23" s="20" t="s">
        <v>173</v>
      </c>
      <c r="C23" s="21"/>
      <c r="D23" s="17"/>
      <c r="E23" s="16">
        <v>1</v>
      </c>
      <c r="F23" s="20" t="s">
        <v>70</v>
      </c>
      <c r="G23" s="37">
        <v>45888</v>
      </c>
      <c r="H23" s="37">
        <v>45901</v>
      </c>
      <c r="I23" s="20"/>
      <c r="J23" s="22"/>
      <c r="K23" s="20"/>
      <c r="L23" s="20"/>
    </row>
    <row r="24" spans="1:12">
      <c r="A24" s="12">
        <v>16</v>
      </c>
      <c r="B24" s="20" t="s">
        <v>174</v>
      </c>
      <c r="C24" s="21"/>
      <c r="D24" s="17"/>
      <c r="E24" s="16">
        <v>1</v>
      </c>
      <c r="F24" s="20" t="s">
        <v>70</v>
      </c>
      <c r="G24" s="37">
        <v>45888</v>
      </c>
      <c r="H24" s="37">
        <v>45901</v>
      </c>
      <c r="I24" s="20"/>
      <c r="J24" s="20"/>
      <c r="K24" s="23"/>
      <c r="L24" s="23"/>
    </row>
    <row r="25" spans="1:12">
      <c r="A25" s="12">
        <v>17</v>
      </c>
      <c r="B25" s="20" t="s">
        <v>175</v>
      </c>
      <c r="C25" s="21"/>
      <c r="D25" s="17"/>
      <c r="E25" s="16">
        <v>1</v>
      </c>
      <c r="F25" s="17" t="s">
        <v>57</v>
      </c>
      <c r="G25" s="37">
        <v>45888</v>
      </c>
      <c r="H25" s="37">
        <v>45901</v>
      </c>
      <c r="I25" s="20"/>
      <c r="J25" s="20"/>
      <c r="K25" s="23"/>
      <c r="L25" s="23"/>
    </row>
    <row r="26" spans="1:12">
      <c r="A26" s="12">
        <v>18</v>
      </c>
      <c r="B26" s="20" t="s">
        <v>176</v>
      </c>
      <c r="C26" s="20"/>
      <c r="D26" s="41"/>
      <c r="E26" s="17">
        <v>1</v>
      </c>
      <c r="F26" s="17" t="s">
        <v>57</v>
      </c>
      <c r="G26" s="37">
        <v>45888</v>
      </c>
      <c r="H26" s="37">
        <v>45901</v>
      </c>
      <c r="I26" s="20"/>
      <c r="J26" s="22"/>
      <c r="K26" s="23"/>
      <c r="L26" s="23"/>
    </row>
    <row r="27" spans="1:12">
      <c r="A27" s="12">
        <v>19</v>
      </c>
      <c r="B27" s="20" t="s">
        <v>177</v>
      </c>
      <c r="C27" s="20"/>
      <c r="D27" s="20"/>
      <c r="E27" s="17">
        <v>1</v>
      </c>
      <c r="F27" s="17" t="s">
        <v>57</v>
      </c>
      <c r="G27" s="37">
        <v>45888</v>
      </c>
      <c r="H27" s="37">
        <v>45901</v>
      </c>
      <c r="I27" s="20"/>
      <c r="J27" s="22"/>
      <c r="K27" s="20"/>
      <c r="L27" s="20"/>
    </row>
    <row r="28" spans="1:12">
      <c r="A28" s="12">
        <v>20</v>
      </c>
      <c r="B28" s="20" t="s">
        <v>178</v>
      </c>
      <c r="C28" s="21"/>
      <c r="D28" s="17"/>
      <c r="E28" s="16" t="s">
        <v>71</v>
      </c>
      <c r="F28" s="20" t="s">
        <v>65</v>
      </c>
      <c r="G28" s="37">
        <v>45888</v>
      </c>
      <c r="H28" s="37">
        <v>45901</v>
      </c>
      <c r="I28" s="20"/>
      <c r="J28" s="22"/>
      <c r="K28" s="23"/>
      <c r="L28" s="23"/>
    </row>
    <row r="29" spans="1:12">
      <c r="A29" s="12">
        <v>21</v>
      </c>
      <c r="B29" s="20" t="s">
        <v>179</v>
      </c>
      <c r="C29" s="20"/>
      <c r="D29" s="20"/>
      <c r="E29" s="16">
        <v>1</v>
      </c>
      <c r="F29" s="20" t="s">
        <v>64</v>
      </c>
      <c r="G29" s="37">
        <v>45888</v>
      </c>
      <c r="H29" s="37">
        <v>45901</v>
      </c>
      <c r="I29" s="20"/>
      <c r="J29" s="20"/>
      <c r="K29" s="23"/>
      <c r="L29" s="23"/>
    </row>
    <row r="30" spans="1:12">
      <c r="A30" s="12">
        <v>22</v>
      </c>
      <c r="B30" s="20" t="s">
        <v>180</v>
      </c>
      <c r="C30" s="20"/>
      <c r="D30" s="41"/>
      <c r="E30" s="17">
        <v>1</v>
      </c>
      <c r="F30" s="17" t="s">
        <v>56</v>
      </c>
      <c r="G30" s="37">
        <v>45888</v>
      </c>
      <c r="H30" s="37">
        <v>45901</v>
      </c>
      <c r="I30" s="20"/>
      <c r="J30" s="22"/>
      <c r="K30" s="20"/>
      <c r="L30" s="20"/>
    </row>
    <row r="31" spans="1:12">
      <c r="A31" s="12">
        <v>23</v>
      </c>
      <c r="B31" s="20" t="s">
        <v>181</v>
      </c>
      <c r="C31" s="21"/>
      <c r="D31" s="17"/>
      <c r="E31" s="16">
        <v>1</v>
      </c>
      <c r="F31" s="20" t="s">
        <v>60</v>
      </c>
      <c r="G31" s="37">
        <v>45888</v>
      </c>
      <c r="H31" s="37">
        <v>45901</v>
      </c>
      <c r="I31" s="20"/>
      <c r="J31" s="22"/>
      <c r="K31" s="23"/>
      <c r="L31" s="23"/>
    </row>
    <row r="32" spans="1:12">
      <c r="A32" s="12">
        <v>24</v>
      </c>
      <c r="B32" s="20" t="s">
        <v>182</v>
      </c>
      <c r="C32" s="20"/>
      <c r="D32" s="17"/>
      <c r="E32" s="17" t="s">
        <v>58</v>
      </c>
      <c r="F32" s="17" t="s">
        <v>59</v>
      </c>
      <c r="G32" s="37">
        <v>45888</v>
      </c>
      <c r="H32" s="37">
        <v>45901</v>
      </c>
      <c r="I32" s="20"/>
      <c r="J32" s="20"/>
      <c r="K32" s="20"/>
      <c r="L32" s="20"/>
    </row>
    <row r="33" spans="1:12">
      <c r="A33" s="12">
        <v>25</v>
      </c>
      <c r="B33" s="20" t="s">
        <v>183</v>
      </c>
      <c r="C33" s="20"/>
      <c r="D33" s="20"/>
      <c r="E33" s="20"/>
      <c r="F33" s="20" t="s">
        <v>63</v>
      </c>
      <c r="G33" s="37">
        <v>45888</v>
      </c>
      <c r="H33" s="37">
        <v>45901</v>
      </c>
      <c r="I33" s="20"/>
      <c r="J33" s="22"/>
      <c r="K33" s="20"/>
      <c r="L33" s="20"/>
    </row>
    <row r="34" spans="1:12">
      <c r="A34" s="12">
        <v>26</v>
      </c>
      <c r="B34" s="20" t="s">
        <v>184</v>
      </c>
      <c r="C34" s="21"/>
      <c r="D34" s="17"/>
      <c r="E34" s="16" t="s">
        <v>61</v>
      </c>
      <c r="F34" s="20" t="s">
        <v>65</v>
      </c>
      <c r="G34" s="37">
        <v>45888</v>
      </c>
      <c r="H34" s="37">
        <v>45901</v>
      </c>
      <c r="I34" s="20"/>
      <c r="J34" s="20"/>
      <c r="K34" s="20"/>
      <c r="L34" s="20"/>
    </row>
    <row r="35" spans="1:12">
      <c r="A35" s="12">
        <v>27</v>
      </c>
      <c r="B35" s="20" t="s">
        <v>185</v>
      </c>
      <c r="C35" s="21"/>
      <c r="D35" s="17"/>
      <c r="E35" s="16">
        <v>1</v>
      </c>
      <c r="F35" s="20" t="s">
        <v>70</v>
      </c>
      <c r="G35" s="37">
        <v>45888</v>
      </c>
      <c r="H35" s="37">
        <v>45901</v>
      </c>
      <c r="I35" s="20"/>
      <c r="J35" s="20"/>
      <c r="K35" s="20"/>
      <c r="L35" s="20"/>
    </row>
    <row r="36" spans="1:12">
      <c r="A36" s="12">
        <v>28</v>
      </c>
      <c r="B36" s="20" t="s">
        <v>186</v>
      </c>
      <c r="C36" s="21"/>
      <c r="D36" s="17"/>
      <c r="E36" s="16">
        <v>1</v>
      </c>
      <c r="F36" s="20" t="s">
        <v>70</v>
      </c>
      <c r="G36" s="37">
        <v>45888</v>
      </c>
      <c r="H36" s="37">
        <v>45901</v>
      </c>
      <c r="I36" s="20"/>
      <c r="J36" s="20"/>
      <c r="K36" s="20"/>
      <c r="L36" s="20"/>
    </row>
    <row r="37" spans="1:12">
      <c r="A37" s="12">
        <v>29</v>
      </c>
      <c r="B37" s="20" t="s">
        <v>187</v>
      </c>
      <c r="C37" s="20"/>
      <c r="D37" s="20"/>
      <c r="E37" s="17">
        <v>1</v>
      </c>
      <c r="F37" s="17" t="s">
        <v>60</v>
      </c>
      <c r="G37" s="37">
        <v>45888</v>
      </c>
      <c r="H37" s="37">
        <v>45901</v>
      </c>
      <c r="I37" s="20"/>
      <c r="J37" s="20"/>
      <c r="K37" s="20"/>
      <c r="L37" s="20"/>
    </row>
    <row r="38" spans="1:12">
      <c r="A38" s="12">
        <v>30</v>
      </c>
      <c r="B38" s="20" t="s">
        <v>188</v>
      </c>
      <c r="C38" s="21"/>
      <c r="D38" s="17"/>
      <c r="E38" s="16">
        <v>1</v>
      </c>
      <c r="F38" s="20" t="s">
        <v>63</v>
      </c>
      <c r="G38" s="37">
        <v>45888</v>
      </c>
      <c r="H38" s="37">
        <v>45901</v>
      </c>
      <c r="I38" s="20"/>
      <c r="J38" s="20"/>
      <c r="K38" s="20"/>
      <c r="L38" s="20"/>
    </row>
    <row r="39" spans="1:12">
      <c r="A39" s="12">
        <v>31</v>
      </c>
      <c r="B39" s="20" t="s">
        <v>189</v>
      </c>
      <c r="C39" s="21"/>
      <c r="D39" s="17"/>
      <c r="E39" s="16">
        <v>1</v>
      </c>
      <c r="F39" s="20" t="s">
        <v>65</v>
      </c>
      <c r="G39" s="37">
        <v>45888</v>
      </c>
      <c r="H39" s="37">
        <v>45901</v>
      </c>
      <c r="I39" s="20"/>
      <c r="J39" s="20"/>
      <c r="K39" s="20"/>
      <c r="L39" s="20"/>
    </row>
    <row r="40" spans="1:12">
      <c r="A40" s="12">
        <v>32</v>
      </c>
      <c r="B40" s="20" t="s">
        <v>190</v>
      </c>
      <c r="C40" s="20"/>
      <c r="D40" s="41"/>
      <c r="E40" s="17">
        <v>1</v>
      </c>
      <c r="F40" s="17" t="s">
        <v>57</v>
      </c>
      <c r="G40" s="37">
        <v>45888</v>
      </c>
      <c r="H40" s="37">
        <v>45901</v>
      </c>
      <c r="I40" s="20"/>
      <c r="J40" s="20"/>
      <c r="K40" s="20"/>
      <c r="L40" s="20"/>
    </row>
    <row r="41" spans="1:12">
      <c r="A41" s="12">
        <v>33</v>
      </c>
      <c r="B41" s="20" t="s">
        <v>191</v>
      </c>
      <c r="C41" s="21"/>
      <c r="D41" s="17"/>
      <c r="E41" s="17">
        <v>1</v>
      </c>
      <c r="F41" s="17" t="s">
        <v>57</v>
      </c>
      <c r="G41" s="37">
        <v>45888</v>
      </c>
      <c r="H41" s="37">
        <v>45901</v>
      </c>
      <c r="I41" s="20"/>
      <c r="J41" s="20"/>
      <c r="K41" s="20"/>
      <c r="L41" s="20"/>
    </row>
    <row r="42" spans="1:12">
      <c r="A42" s="12">
        <v>34</v>
      </c>
      <c r="B42" s="20" t="s">
        <v>192</v>
      </c>
      <c r="C42" s="20"/>
      <c r="D42" s="20"/>
      <c r="E42" s="17">
        <v>1</v>
      </c>
      <c r="F42" s="20" t="s">
        <v>65</v>
      </c>
      <c r="G42" s="37">
        <v>45888</v>
      </c>
      <c r="H42" s="37">
        <v>45901</v>
      </c>
      <c r="I42" s="20"/>
      <c r="J42" s="20"/>
      <c r="K42" s="20"/>
      <c r="L42" s="20"/>
    </row>
    <row r="43" spans="1:12">
      <c r="A43" s="12">
        <v>35</v>
      </c>
      <c r="B43" s="20" t="s">
        <v>193</v>
      </c>
      <c r="C43" s="21"/>
      <c r="D43" s="17"/>
      <c r="E43" s="16">
        <v>1</v>
      </c>
      <c r="F43" s="20" t="s">
        <v>70</v>
      </c>
      <c r="G43" s="37">
        <v>45888</v>
      </c>
      <c r="H43" s="37">
        <v>45901</v>
      </c>
      <c r="I43" s="20"/>
      <c r="J43" s="20"/>
      <c r="K43" s="20"/>
      <c r="L43" s="20"/>
    </row>
    <row r="44" spans="1:12">
      <c r="A44" s="12">
        <v>36</v>
      </c>
      <c r="B44" s="20" t="s">
        <v>194</v>
      </c>
      <c r="C44" s="20"/>
      <c r="D44" s="20"/>
      <c r="E44" s="20" t="s">
        <v>66</v>
      </c>
      <c r="F44" s="20" t="s">
        <v>67</v>
      </c>
      <c r="G44" s="37">
        <v>45888</v>
      </c>
      <c r="H44" s="37">
        <v>45901</v>
      </c>
      <c r="I44" s="20"/>
      <c r="J44" s="20"/>
      <c r="K44" s="20"/>
      <c r="L44" s="20"/>
    </row>
    <row r="45" spans="1:12">
      <c r="A45" s="12">
        <v>37</v>
      </c>
      <c r="B45" s="20" t="s">
        <v>195</v>
      </c>
      <c r="C45" s="20"/>
      <c r="D45" s="20"/>
      <c r="E45" s="16">
        <v>1</v>
      </c>
      <c r="F45" s="20" t="s">
        <v>63</v>
      </c>
      <c r="G45" s="37">
        <v>45888</v>
      </c>
      <c r="H45" s="37">
        <v>45901</v>
      </c>
      <c r="I45" s="20"/>
      <c r="J45" s="20"/>
      <c r="K45" s="20"/>
      <c r="L45" s="20"/>
    </row>
    <row r="46" spans="1:12">
      <c r="A46" s="12">
        <v>38</v>
      </c>
      <c r="B46" s="20" t="s">
        <v>196</v>
      </c>
      <c r="C46" s="20"/>
      <c r="D46" s="20"/>
      <c r="E46" s="17">
        <v>3</v>
      </c>
      <c r="F46" s="17" t="s">
        <v>57</v>
      </c>
      <c r="G46" s="37">
        <v>45888</v>
      </c>
      <c r="H46" s="37">
        <v>45901</v>
      </c>
      <c r="I46" s="20"/>
      <c r="J46" s="20"/>
      <c r="K46" s="20"/>
      <c r="L46" s="20"/>
    </row>
    <row r="47" spans="1:12">
      <c r="A47" s="12">
        <v>39</v>
      </c>
      <c r="B47" s="20" t="s">
        <v>197</v>
      </c>
      <c r="C47" s="21"/>
      <c r="D47" s="17"/>
      <c r="E47" s="16">
        <v>1</v>
      </c>
      <c r="F47" s="20" t="s">
        <v>70</v>
      </c>
      <c r="G47" s="37">
        <v>45888</v>
      </c>
      <c r="H47" s="37">
        <v>45901</v>
      </c>
      <c r="I47" s="20"/>
      <c r="J47" s="20"/>
      <c r="K47" s="20"/>
      <c r="L47" s="20"/>
    </row>
    <row r="48" spans="1:12">
      <c r="A48" s="12">
        <v>40</v>
      </c>
      <c r="B48" s="20" t="s">
        <v>198</v>
      </c>
      <c r="C48" s="20"/>
      <c r="D48" s="20"/>
      <c r="E48" s="17">
        <v>1</v>
      </c>
      <c r="F48" s="17" t="s">
        <v>57</v>
      </c>
      <c r="G48" s="37">
        <v>45888</v>
      </c>
      <c r="H48" s="37">
        <v>45901</v>
      </c>
      <c r="I48" s="20"/>
      <c r="J48" s="20"/>
      <c r="K48" s="20"/>
      <c r="L48" s="20"/>
    </row>
    <row r="49" spans="1:12">
      <c r="A49" s="12">
        <v>41</v>
      </c>
      <c r="B49" s="20" t="s">
        <v>199</v>
      </c>
      <c r="C49" s="20"/>
      <c r="D49" s="20"/>
      <c r="E49" s="16">
        <v>1</v>
      </c>
      <c r="F49" s="20" t="s">
        <v>64</v>
      </c>
      <c r="G49" s="37">
        <v>45888</v>
      </c>
      <c r="H49" s="37">
        <v>45901</v>
      </c>
      <c r="I49" s="20"/>
      <c r="J49" s="20"/>
      <c r="K49" s="20"/>
      <c r="L49" s="20"/>
    </row>
    <row r="50" spans="1:12">
      <c r="A50" s="12">
        <v>42</v>
      </c>
      <c r="B50" s="20" t="s">
        <v>200</v>
      </c>
      <c r="C50" s="20"/>
      <c r="D50" s="41"/>
      <c r="E50" s="17">
        <v>1</v>
      </c>
      <c r="F50" s="17" t="s">
        <v>57</v>
      </c>
      <c r="G50" s="37">
        <v>45888</v>
      </c>
      <c r="H50" s="37">
        <v>45901</v>
      </c>
      <c r="I50" s="20"/>
      <c r="J50" s="20"/>
      <c r="K50" s="20"/>
      <c r="L50" s="20"/>
    </row>
    <row r="51" spans="1:12">
      <c r="A51" s="12">
        <v>43</v>
      </c>
      <c r="B51" s="20" t="s">
        <v>201</v>
      </c>
      <c r="C51" s="20"/>
      <c r="D51" s="20"/>
      <c r="E51" s="17">
        <v>3</v>
      </c>
      <c r="F51" s="20" t="s">
        <v>64</v>
      </c>
      <c r="G51" s="37">
        <v>45888</v>
      </c>
      <c r="H51" s="37">
        <v>45901</v>
      </c>
      <c r="I51" s="20"/>
      <c r="J51" s="20"/>
      <c r="K51" s="20"/>
      <c r="L51" s="20"/>
    </row>
    <row r="52" spans="1:12">
      <c r="A52" s="12">
        <v>44</v>
      </c>
      <c r="B52" s="20" t="s">
        <v>202</v>
      </c>
      <c r="C52" s="20"/>
      <c r="D52" s="20"/>
      <c r="E52" s="17" t="s">
        <v>68</v>
      </c>
      <c r="F52" s="20" t="s">
        <v>64</v>
      </c>
      <c r="G52" s="37">
        <v>45888</v>
      </c>
      <c r="H52" s="37">
        <v>45901</v>
      </c>
      <c r="I52" s="20"/>
      <c r="J52" s="20"/>
      <c r="K52" s="20"/>
      <c r="L52" s="20"/>
    </row>
    <row r="53" spans="1:12">
      <c r="A53" s="12">
        <v>45</v>
      </c>
      <c r="B53" s="20" t="s">
        <v>203</v>
      </c>
      <c r="C53" s="21"/>
      <c r="D53" s="17"/>
      <c r="E53" s="16">
        <v>1</v>
      </c>
      <c r="F53" s="20" t="s">
        <v>70</v>
      </c>
      <c r="G53" s="37">
        <v>45888</v>
      </c>
      <c r="H53" s="37">
        <v>45901</v>
      </c>
      <c r="I53" s="20"/>
      <c r="J53" s="20"/>
      <c r="K53" s="20"/>
      <c r="L53" s="20"/>
    </row>
    <row r="54" spans="1:12">
      <c r="A54" s="12">
        <v>46</v>
      </c>
      <c r="B54" s="20" t="s">
        <v>204</v>
      </c>
      <c r="C54" s="20"/>
      <c r="D54" s="20"/>
      <c r="E54" s="17">
        <v>1</v>
      </c>
      <c r="F54" s="17" t="s">
        <v>60</v>
      </c>
      <c r="G54" s="37">
        <v>45888</v>
      </c>
      <c r="H54" s="37">
        <v>45901</v>
      </c>
      <c r="I54" s="20"/>
      <c r="J54" s="20"/>
      <c r="K54" s="20"/>
      <c r="L54" s="20"/>
    </row>
    <row r="55" spans="1:12">
      <c r="A55" s="12">
        <v>47</v>
      </c>
      <c r="B55" s="20" t="s">
        <v>205</v>
      </c>
      <c r="C55" s="20"/>
      <c r="D55" s="20"/>
      <c r="E55" s="17">
        <v>1</v>
      </c>
      <c r="F55" s="20" t="s">
        <v>63</v>
      </c>
      <c r="G55" s="37">
        <v>45888</v>
      </c>
      <c r="H55" s="37">
        <v>45901</v>
      </c>
      <c r="I55" s="20"/>
      <c r="J55" s="20"/>
      <c r="K55" s="20"/>
      <c r="L55" s="20"/>
    </row>
    <row r="56" spans="1:12">
      <c r="A56" s="12">
        <v>48</v>
      </c>
      <c r="B56" s="20" t="s">
        <v>206</v>
      </c>
      <c r="C56" s="14"/>
      <c r="D56" s="17"/>
      <c r="E56" s="16">
        <v>1</v>
      </c>
      <c r="F56" s="20" t="s">
        <v>65</v>
      </c>
      <c r="G56" s="37">
        <v>45888</v>
      </c>
      <c r="H56" s="37">
        <v>45901</v>
      </c>
      <c r="I56" s="20"/>
      <c r="J56" s="20"/>
      <c r="K56" s="20"/>
      <c r="L56" s="20"/>
    </row>
    <row r="57" spans="1:12">
      <c r="A57" s="12">
        <v>49</v>
      </c>
      <c r="B57" s="20" t="s">
        <v>207</v>
      </c>
      <c r="C57" s="20"/>
      <c r="D57" s="20"/>
      <c r="E57" s="20"/>
      <c r="F57" s="20" t="s">
        <v>63</v>
      </c>
      <c r="G57" s="37">
        <v>45888</v>
      </c>
      <c r="H57" s="37">
        <v>45901</v>
      </c>
      <c r="I57" s="20"/>
      <c r="J57" s="20"/>
      <c r="K57" s="20"/>
      <c r="L57" s="20"/>
    </row>
    <row r="58" spans="1:12">
      <c r="A58" s="12">
        <v>50</v>
      </c>
      <c r="B58" s="20" t="s">
        <v>208</v>
      </c>
      <c r="C58" s="21"/>
      <c r="D58" s="17"/>
      <c r="E58" s="16">
        <v>1</v>
      </c>
      <c r="F58" s="20" t="s">
        <v>75</v>
      </c>
      <c r="G58" s="37">
        <v>45888</v>
      </c>
      <c r="H58" s="37">
        <v>45901</v>
      </c>
      <c r="I58" s="20"/>
      <c r="J58" s="20"/>
      <c r="K58" s="20"/>
      <c r="L58" s="20"/>
    </row>
    <row r="59" spans="1:12">
      <c r="A59" s="12">
        <v>51</v>
      </c>
      <c r="B59" s="20" t="s">
        <v>209</v>
      </c>
      <c r="C59" s="14"/>
      <c r="D59" s="15"/>
      <c r="E59" s="16">
        <v>1</v>
      </c>
      <c r="F59" s="20" t="s">
        <v>70</v>
      </c>
      <c r="G59" s="37">
        <v>45888</v>
      </c>
      <c r="H59" s="37">
        <v>45901</v>
      </c>
      <c r="I59" s="20"/>
      <c r="J59" s="20"/>
      <c r="K59" s="20"/>
      <c r="L59" s="20"/>
    </row>
    <row r="60" spans="1:12">
      <c r="A60" s="12">
        <v>52</v>
      </c>
      <c r="B60" s="20" t="s">
        <v>210</v>
      </c>
      <c r="C60" s="20"/>
      <c r="D60" s="20"/>
      <c r="E60" s="17">
        <v>3</v>
      </c>
      <c r="F60" s="17" t="s">
        <v>57</v>
      </c>
      <c r="G60" s="37">
        <v>45888</v>
      </c>
      <c r="H60" s="37">
        <v>45901</v>
      </c>
      <c r="I60" s="20"/>
      <c r="J60" s="20"/>
      <c r="K60" s="20"/>
      <c r="L60" s="20"/>
    </row>
    <row r="61" spans="1:12">
      <c r="A61" s="12">
        <v>53</v>
      </c>
      <c r="B61" s="20" t="s">
        <v>211</v>
      </c>
      <c r="C61" s="21"/>
      <c r="D61" s="17"/>
      <c r="E61" s="17">
        <v>1</v>
      </c>
      <c r="F61" s="17" t="s">
        <v>57</v>
      </c>
      <c r="G61" s="37">
        <v>45888</v>
      </c>
      <c r="H61" s="37">
        <v>45901</v>
      </c>
      <c r="I61" s="20"/>
      <c r="J61" s="20"/>
      <c r="K61" s="20"/>
      <c r="L61" s="20"/>
    </row>
    <row r="62" spans="1:12">
      <c r="A62" s="12">
        <v>54</v>
      </c>
      <c r="B62" s="20" t="s">
        <v>212</v>
      </c>
      <c r="C62" s="21"/>
      <c r="D62" s="17"/>
      <c r="E62" s="17" t="s">
        <v>61</v>
      </c>
      <c r="F62" s="17" t="s">
        <v>57</v>
      </c>
      <c r="G62" s="37">
        <v>45888</v>
      </c>
      <c r="H62" s="37">
        <v>45901</v>
      </c>
      <c r="I62" s="20"/>
      <c r="J62" s="20"/>
      <c r="K62" s="20"/>
      <c r="L62" s="20"/>
    </row>
    <row r="63" spans="1:12">
      <c r="A63" s="12">
        <v>55</v>
      </c>
      <c r="B63" s="20" t="s">
        <v>213</v>
      </c>
      <c r="C63" s="21"/>
      <c r="D63" s="17"/>
      <c r="E63" s="16">
        <v>1</v>
      </c>
      <c r="F63" s="20" t="s">
        <v>70</v>
      </c>
      <c r="G63" s="37">
        <v>45888</v>
      </c>
      <c r="H63" s="37">
        <v>45901</v>
      </c>
      <c r="I63" s="20"/>
      <c r="J63" s="20"/>
      <c r="K63" s="20"/>
      <c r="L63" s="20"/>
    </row>
    <row r="64" spans="1:12">
      <c r="A64" s="12">
        <v>56</v>
      </c>
      <c r="B64" s="20" t="s">
        <v>214</v>
      </c>
      <c r="C64" s="20"/>
      <c r="D64" s="20"/>
      <c r="E64" s="16">
        <v>1</v>
      </c>
      <c r="F64" s="20" t="s">
        <v>63</v>
      </c>
      <c r="G64" s="37">
        <v>45888</v>
      </c>
      <c r="H64" s="37">
        <v>45901</v>
      </c>
      <c r="I64" s="20"/>
      <c r="J64" s="20"/>
      <c r="K64" s="20"/>
      <c r="L64" s="20"/>
    </row>
    <row r="65" spans="1:12">
      <c r="A65" s="12">
        <v>57</v>
      </c>
      <c r="B65" s="20" t="s">
        <v>215</v>
      </c>
      <c r="C65" s="21"/>
      <c r="D65" s="17"/>
      <c r="E65" s="16">
        <v>1</v>
      </c>
      <c r="F65" s="20" t="s">
        <v>73</v>
      </c>
      <c r="G65" s="37">
        <v>45888</v>
      </c>
      <c r="H65" s="37">
        <v>45901</v>
      </c>
      <c r="I65" s="20"/>
      <c r="J65" s="20"/>
      <c r="K65" s="20"/>
      <c r="L65" s="20"/>
    </row>
    <row r="66" spans="1:12">
      <c r="A66" s="12">
        <v>58</v>
      </c>
      <c r="B66" s="20" t="s">
        <v>216</v>
      </c>
      <c r="C66" s="20"/>
      <c r="D66" s="20"/>
      <c r="E66" s="17">
        <v>1</v>
      </c>
      <c r="F66" s="17" t="s">
        <v>57</v>
      </c>
      <c r="G66" s="37">
        <v>45888</v>
      </c>
      <c r="H66" s="37">
        <v>45901</v>
      </c>
      <c r="I66" s="20"/>
      <c r="J66" s="20"/>
      <c r="K66" s="20"/>
      <c r="L66" s="20"/>
    </row>
    <row r="67" spans="1:12">
      <c r="A67" s="12">
        <v>59</v>
      </c>
      <c r="B67" s="20" t="s">
        <v>217</v>
      </c>
      <c r="C67" s="20"/>
      <c r="D67" s="20"/>
      <c r="E67" s="17" t="s">
        <v>61</v>
      </c>
      <c r="F67" s="17" t="s">
        <v>57</v>
      </c>
      <c r="G67" s="37">
        <v>45888</v>
      </c>
      <c r="H67" s="37">
        <v>45901</v>
      </c>
      <c r="I67" s="20"/>
      <c r="J67" s="20"/>
      <c r="K67" s="20"/>
      <c r="L67" s="20"/>
    </row>
    <row r="68" spans="1:12">
      <c r="A68" s="12">
        <v>60</v>
      </c>
      <c r="B68" s="20" t="s">
        <v>218</v>
      </c>
      <c r="C68" s="14"/>
      <c r="D68" s="17"/>
      <c r="E68" s="16">
        <v>1</v>
      </c>
      <c r="F68" s="20" t="s">
        <v>70</v>
      </c>
      <c r="G68" s="37">
        <v>45888</v>
      </c>
      <c r="H68" s="37">
        <v>45901</v>
      </c>
      <c r="I68" s="20"/>
      <c r="J68" s="20"/>
      <c r="K68" s="20"/>
      <c r="L68" s="20"/>
    </row>
    <row r="69" spans="1:12">
      <c r="A69" s="12">
        <v>61</v>
      </c>
      <c r="B69" s="20" t="s">
        <v>219</v>
      </c>
      <c r="C69" s="21"/>
      <c r="D69" s="41"/>
      <c r="E69" s="17">
        <v>1</v>
      </c>
      <c r="F69" s="17" t="s">
        <v>57</v>
      </c>
      <c r="G69" s="37">
        <v>45888</v>
      </c>
      <c r="H69" s="37">
        <v>45901</v>
      </c>
      <c r="I69" s="20"/>
      <c r="J69" s="20"/>
      <c r="K69" s="20"/>
      <c r="L69" s="20"/>
    </row>
    <row r="70" spans="1:12">
      <c r="A70" s="12">
        <v>62</v>
      </c>
      <c r="B70" s="20" t="s">
        <v>220</v>
      </c>
      <c r="C70" s="21"/>
      <c r="D70" s="17"/>
      <c r="E70" s="16">
        <v>1</v>
      </c>
      <c r="F70" s="20" t="s">
        <v>70</v>
      </c>
      <c r="G70" s="37">
        <v>45888</v>
      </c>
      <c r="H70" s="37">
        <v>45901</v>
      </c>
      <c r="I70" s="20"/>
      <c r="J70" s="20"/>
      <c r="K70" s="20"/>
      <c r="L70" s="20"/>
    </row>
    <row r="71" spans="1:12">
      <c r="A71" s="12">
        <v>63</v>
      </c>
      <c r="B71" s="20" t="s">
        <v>221</v>
      </c>
      <c r="C71" s="21"/>
      <c r="D71" s="17"/>
      <c r="E71" s="16">
        <v>1</v>
      </c>
      <c r="F71" s="20" t="s">
        <v>70</v>
      </c>
      <c r="G71" s="37">
        <v>45888</v>
      </c>
      <c r="H71" s="37">
        <v>45901</v>
      </c>
      <c r="I71" s="20"/>
      <c r="J71" s="20"/>
      <c r="K71" s="20"/>
      <c r="L71" s="20"/>
    </row>
    <row r="72" spans="1:12">
      <c r="A72" s="12">
        <v>64</v>
      </c>
      <c r="B72" s="20" t="s">
        <v>222</v>
      </c>
      <c r="C72" s="20"/>
      <c r="D72" s="20"/>
      <c r="E72" s="17">
        <v>1</v>
      </c>
      <c r="F72" s="17" t="s">
        <v>57</v>
      </c>
      <c r="G72" s="37">
        <v>45888</v>
      </c>
      <c r="H72" s="37">
        <v>45901</v>
      </c>
      <c r="I72" s="20"/>
      <c r="J72" s="20"/>
      <c r="K72" s="20"/>
      <c r="L72" s="20"/>
    </row>
    <row r="73" spans="1:12">
      <c r="A73" s="12">
        <v>65</v>
      </c>
      <c r="B73" s="20" t="s">
        <v>223</v>
      </c>
      <c r="C73" s="20"/>
      <c r="D73" s="20"/>
      <c r="E73" s="17" t="s">
        <v>61</v>
      </c>
      <c r="F73" s="17" t="s">
        <v>57</v>
      </c>
      <c r="G73" s="37">
        <v>45888</v>
      </c>
      <c r="H73" s="37">
        <v>45901</v>
      </c>
      <c r="I73" s="20"/>
      <c r="J73" s="20"/>
      <c r="K73" s="20"/>
      <c r="L73" s="20"/>
    </row>
    <row r="74" spans="1:12">
      <c r="A74" s="12">
        <v>66</v>
      </c>
      <c r="B74" s="20" t="s">
        <v>224</v>
      </c>
      <c r="C74" s="21"/>
      <c r="D74" s="17"/>
      <c r="E74" s="16">
        <v>1</v>
      </c>
      <c r="F74" s="20" t="s">
        <v>70</v>
      </c>
      <c r="G74" s="37">
        <v>45888</v>
      </c>
      <c r="H74" s="37">
        <v>45901</v>
      </c>
      <c r="I74" s="20"/>
      <c r="J74" s="20"/>
      <c r="K74" s="20"/>
      <c r="L74" s="20"/>
    </row>
    <row r="75" spans="1:12">
      <c r="A75" s="12">
        <v>67</v>
      </c>
      <c r="B75" s="20" t="s">
        <v>225</v>
      </c>
      <c r="C75" s="20"/>
      <c r="D75" s="39"/>
      <c r="E75" s="16">
        <v>1</v>
      </c>
      <c r="F75" s="17" t="s">
        <v>57</v>
      </c>
      <c r="G75" s="37">
        <v>45888</v>
      </c>
      <c r="H75" s="37">
        <v>45901</v>
      </c>
      <c r="I75" s="20"/>
      <c r="J75" s="20"/>
      <c r="K75" s="20"/>
      <c r="L75" s="20"/>
    </row>
    <row r="76" spans="1:12">
      <c r="A76" s="12">
        <v>68</v>
      </c>
      <c r="B76" s="20" t="s">
        <v>226</v>
      </c>
      <c r="C76" s="21"/>
      <c r="D76" s="17"/>
      <c r="E76" s="16">
        <v>1</v>
      </c>
      <c r="F76" s="20" t="s">
        <v>73</v>
      </c>
      <c r="G76" s="37">
        <v>45888</v>
      </c>
      <c r="H76" s="37">
        <v>45901</v>
      </c>
      <c r="I76" s="20"/>
      <c r="J76" s="20"/>
      <c r="K76" s="20"/>
      <c r="L76" s="20"/>
    </row>
    <row r="77" spans="1:12">
      <c r="A77" s="12">
        <v>69</v>
      </c>
      <c r="B77" s="20" t="s">
        <v>227</v>
      </c>
      <c r="C77" s="20"/>
      <c r="D77" s="20"/>
      <c r="E77" s="17" t="s">
        <v>58</v>
      </c>
      <c r="F77" s="20" t="s">
        <v>65</v>
      </c>
      <c r="G77" s="37">
        <v>45888</v>
      </c>
      <c r="H77" s="37">
        <v>45901</v>
      </c>
      <c r="I77" s="20"/>
      <c r="J77" s="20"/>
      <c r="K77" s="20"/>
      <c r="L77" s="20"/>
    </row>
    <row r="78" spans="1:12">
      <c r="A78" s="12">
        <v>70</v>
      </c>
      <c r="B78" s="20" t="s">
        <v>228</v>
      </c>
      <c r="C78" s="20"/>
      <c r="D78" s="20"/>
      <c r="E78" s="17">
        <v>3</v>
      </c>
      <c r="F78" s="17" t="s">
        <v>57</v>
      </c>
      <c r="G78" s="37">
        <v>45888</v>
      </c>
      <c r="H78" s="37">
        <v>45901</v>
      </c>
      <c r="I78" s="20"/>
      <c r="J78" s="20"/>
      <c r="K78" s="20"/>
      <c r="L78" s="20"/>
    </row>
    <row r="79" spans="1:12">
      <c r="A79" s="12">
        <v>71</v>
      </c>
      <c r="B79" s="20" t="s">
        <v>229</v>
      </c>
      <c r="C79" s="20"/>
      <c r="D79" s="20"/>
      <c r="E79" s="17" t="s">
        <v>58</v>
      </c>
      <c r="F79" s="17" t="s">
        <v>57</v>
      </c>
      <c r="G79" s="37">
        <v>45888</v>
      </c>
      <c r="H79" s="37">
        <v>45901</v>
      </c>
      <c r="I79" s="20"/>
      <c r="J79" s="20"/>
      <c r="K79" s="20"/>
      <c r="L79" s="20"/>
    </row>
    <row r="80" spans="1:12">
      <c r="A80" s="12">
        <v>72</v>
      </c>
      <c r="B80" s="20" t="s">
        <v>230</v>
      </c>
      <c r="C80" s="20"/>
      <c r="D80" s="20"/>
      <c r="E80" s="17">
        <v>1</v>
      </c>
      <c r="F80" s="20" t="s">
        <v>63</v>
      </c>
      <c r="G80" s="37">
        <v>45888</v>
      </c>
      <c r="H80" s="37">
        <v>45901</v>
      </c>
      <c r="I80" s="20"/>
      <c r="J80" s="20"/>
      <c r="K80" s="20"/>
      <c r="L80" s="20"/>
    </row>
    <row r="81" spans="1:12">
      <c r="A81" s="12">
        <v>73</v>
      </c>
      <c r="B81" s="20" t="s">
        <v>231</v>
      </c>
      <c r="C81" s="14"/>
      <c r="D81" s="15"/>
      <c r="E81" s="16" t="s">
        <v>71</v>
      </c>
      <c r="F81" s="20" t="s">
        <v>65</v>
      </c>
      <c r="G81" s="37">
        <v>45888</v>
      </c>
      <c r="H81" s="37">
        <v>45901</v>
      </c>
      <c r="I81" s="20"/>
      <c r="J81" s="20"/>
      <c r="K81" s="20"/>
      <c r="L81" s="20"/>
    </row>
    <row r="82" spans="1:12">
      <c r="A82" s="12">
        <v>74</v>
      </c>
      <c r="B82" s="20" t="s">
        <v>232</v>
      </c>
      <c r="C82" s="21"/>
      <c r="D82" s="17"/>
      <c r="E82" s="16">
        <v>1</v>
      </c>
      <c r="F82" s="20" t="s">
        <v>72</v>
      </c>
      <c r="G82" s="37">
        <v>45888</v>
      </c>
      <c r="H82" s="37">
        <v>45901</v>
      </c>
      <c r="I82" s="20"/>
      <c r="J82" s="20"/>
      <c r="K82" s="20"/>
      <c r="L82" s="20"/>
    </row>
    <row r="83" spans="1:12">
      <c r="A83" s="12">
        <v>75</v>
      </c>
      <c r="B83" s="20" t="s">
        <v>233</v>
      </c>
      <c r="C83" s="21"/>
      <c r="D83" s="41"/>
      <c r="E83" s="17">
        <v>1</v>
      </c>
      <c r="F83" s="17" t="s">
        <v>57</v>
      </c>
      <c r="G83" s="37">
        <v>45888</v>
      </c>
      <c r="H83" s="37">
        <v>45901</v>
      </c>
      <c r="I83" s="20"/>
      <c r="J83" s="20"/>
      <c r="K83" s="20"/>
      <c r="L83" s="20"/>
    </row>
    <row r="84" spans="1:12">
      <c r="A84" s="12">
        <v>76</v>
      </c>
      <c r="B84" s="20" t="s">
        <v>234</v>
      </c>
      <c r="C84" s="14"/>
      <c r="D84" s="17"/>
      <c r="E84" s="16">
        <v>1</v>
      </c>
      <c r="F84" s="20" t="s">
        <v>63</v>
      </c>
      <c r="G84" s="37">
        <v>45888</v>
      </c>
      <c r="H84" s="37">
        <v>45901</v>
      </c>
      <c r="I84" s="20"/>
      <c r="J84" s="20"/>
      <c r="K84" s="20"/>
      <c r="L84" s="20"/>
    </row>
    <row r="85" spans="1:12">
      <c r="A85" s="12">
        <v>66</v>
      </c>
      <c r="B85" s="20" t="s">
        <v>235</v>
      </c>
      <c r="C85" s="21"/>
      <c r="D85" s="41"/>
      <c r="E85" s="17">
        <v>1</v>
      </c>
      <c r="F85" s="17" t="s">
        <v>57</v>
      </c>
      <c r="G85" s="37">
        <v>45888</v>
      </c>
      <c r="H85" s="37">
        <v>45901</v>
      </c>
      <c r="I85" s="20"/>
      <c r="J85" s="20"/>
      <c r="K85" s="20"/>
      <c r="L85" s="20"/>
    </row>
    <row r="86" spans="1:12">
      <c r="A86" s="12">
        <v>78</v>
      </c>
      <c r="B86" s="20" t="s">
        <v>236</v>
      </c>
      <c r="C86" s="21"/>
      <c r="D86" s="17"/>
      <c r="E86" s="16">
        <v>1</v>
      </c>
      <c r="F86" s="20" t="s">
        <v>63</v>
      </c>
      <c r="G86" s="37">
        <v>45888</v>
      </c>
      <c r="H86" s="37">
        <v>45901</v>
      </c>
      <c r="I86" s="20"/>
      <c r="J86" s="20"/>
      <c r="K86" s="20"/>
      <c r="L86" s="20"/>
    </row>
    <row r="87" spans="1:12">
      <c r="A87" s="12">
        <v>79</v>
      </c>
      <c r="B87" s="20" t="s">
        <v>237</v>
      </c>
      <c r="C87" s="14"/>
      <c r="D87" s="15"/>
      <c r="E87" s="16">
        <v>1</v>
      </c>
      <c r="F87" s="20" t="s">
        <v>70</v>
      </c>
      <c r="G87" s="37">
        <v>45888</v>
      </c>
      <c r="H87" s="37">
        <v>45901</v>
      </c>
      <c r="I87" s="20"/>
      <c r="J87" s="20"/>
      <c r="K87" s="20"/>
      <c r="L87" s="20"/>
    </row>
    <row r="88" spans="1:12">
      <c r="A88" s="12">
        <v>80</v>
      </c>
      <c r="B88" s="20" t="s">
        <v>238</v>
      </c>
      <c r="C88" s="14"/>
      <c r="D88" s="15"/>
      <c r="E88" s="16">
        <v>1</v>
      </c>
      <c r="F88" s="20" t="s">
        <v>70</v>
      </c>
      <c r="G88" s="37">
        <v>45888</v>
      </c>
      <c r="H88" s="37">
        <v>45901</v>
      </c>
      <c r="I88" s="20"/>
      <c r="J88" s="20"/>
      <c r="K88" s="20"/>
      <c r="L88" s="20"/>
    </row>
    <row r="89" spans="1:12" ht="15.75" customHeight="1">
      <c r="A89" s="12">
        <v>81</v>
      </c>
      <c r="B89" s="20" t="s">
        <v>239</v>
      </c>
      <c r="C89" s="20"/>
      <c r="D89" s="20"/>
      <c r="E89" s="17">
        <v>1</v>
      </c>
      <c r="F89" s="20" t="s">
        <v>63</v>
      </c>
      <c r="G89" s="37">
        <v>45888</v>
      </c>
      <c r="H89" s="37">
        <v>45901</v>
      </c>
      <c r="I89" s="20"/>
      <c r="J89" s="20"/>
      <c r="K89" s="20"/>
      <c r="L89" s="20"/>
    </row>
    <row r="90" spans="1:12">
      <c r="A90" s="12">
        <v>82</v>
      </c>
      <c r="B90" s="20" t="s">
        <v>240</v>
      </c>
      <c r="C90" s="21"/>
      <c r="D90" s="17"/>
      <c r="E90" s="16">
        <v>1</v>
      </c>
      <c r="F90" s="20" t="s">
        <v>74</v>
      </c>
      <c r="G90" s="37">
        <v>45888</v>
      </c>
      <c r="H90" s="37">
        <v>45901</v>
      </c>
      <c r="I90" s="20"/>
      <c r="J90" s="20"/>
      <c r="K90" s="20"/>
      <c r="L90" s="20"/>
    </row>
    <row r="91" spans="1:12">
      <c r="A91" s="12">
        <v>83</v>
      </c>
      <c r="B91" s="20" t="s">
        <v>241</v>
      </c>
      <c r="C91" s="21"/>
      <c r="D91" s="17"/>
      <c r="E91" s="16">
        <v>1</v>
      </c>
      <c r="F91" s="17" t="s">
        <v>62</v>
      </c>
      <c r="G91" s="37">
        <v>45888</v>
      </c>
      <c r="H91" s="37">
        <v>45901</v>
      </c>
      <c r="I91" s="20"/>
      <c r="J91" s="20"/>
      <c r="K91" s="20"/>
      <c r="L91" s="20"/>
    </row>
    <row r="92" spans="1:12">
      <c r="A92" s="12">
        <v>84</v>
      </c>
      <c r="B92" s="20" t="s">
        <v>242</v>
      </c>
      <c r="C92" s="20"/>
      <c r="D92" s="20"/>
      <c r="E92" s="16">
        <v>1</v>
      </c>
      <c r="F92" s="20" t="s">
        <v>63</v>
      </c>
      <c r="G92" s="37">
        <v>45888</v>
      </c>
      <c r="H92" s="37">
        <v>45901</v>
      </c>
      <c r="I92" s="20"/>
      <c r="J92" s="20"/>
      <c r="K92" s="20"/>
      <c r="L92" s="20"/>
    </row>
    <row r="93" spans="1:12">
      <c r="A93" s="12">
        <v>85</v>
      </c>
      <c r="B93" s="20" t="s">
        <v>243</v>
      </c>
      <c r="C93" s="20"/>
      <c r="D93" s="41"/>
      <c r="E93" s="17">
        <v>1</v>
      </c>
      <c r="F93" s="17" t="s">
        <v>57</v>
      </c>
      <c r="G93" s="37">
        <v>45888</v>
      </c>
      <c r="H93" s="37">
        <v>45901</v>
      </c>
      <c r="I93" s="20"/>
      <c r="J93" s="20"/>
      <c r="K93" s="20"/>
      <c r="L93" s="20"/>
    </row>
    <row r="94" spans="1:12">
      <c r="A94" s="12">
        <v>86</v>
      </c>
      <c r="B94" s="20" t="s">
        <v>244</v>
      </c>
      <c r="C94" s="21"/>
      <c r="D94" s="17"/>
      <c r="E94" s="16">
        <v>1</v>
      </c>
      <c r="F94" s="20" t="s">
        <v>70</v>
      </c>
      <c r="G94" s="37">
        <v>45888</v>
      </c>
      <c r="H94" s="37">
        <v>45901</v>
      </c>
      <c r="I94" s="20"/>
      <c r="J94" s="20"/>
      <c r="K94" s="20"/>
      <c r="L94" s="20"/>
    </row>
    <row r="95" spans="1:12">
      <c r="A95" s="12">
        <v>87</v>
      </c>
      <c r="B95" s="20" t="s">
        <v>245</v>
      </c>
      <c r="C95" s="21"/>
      <c r="D95" s="17"/>
      <c r="E95" s="16">
        <v>1</v>
      </c>
      <c r="F95" s="20" t="s">
        <v>70</v>
      </c>
      <c r="G95" s="37">
        <v>45888</v>
      </c>
      <c r="H95" s="37">
        <v>45901</v>
      </c>
      <c r="I95" s="20"/>
      <c r="J95" s="20"/>
      <c r="K95" s="20"/>
      <c r="L95" s="20"/>
    </row>
    <row r="96" spans="1:12">
      <c r="A96" s="12">
        <v>88</v>
      </c>
      <c r="B96" s="20" t="s">
        <v>246</v>
      </c>
      <c r="C96" s="20"/>
      <c r="D96" s="41"/>
      <c r="E96" s="17"/>
      <c r="F96" s="17"/>
      <c r="G96" s="37">
        <v>45888</v>
      </c>
      <c r="H96" s="37">
        <v>45901</v>
      </c>
      <c r="I96" s="20"/>
      <c r="J96" s="20"/>
      <c r="K96" s="20"/>
      <c r="L96" s="20"/>
    </row>
    <row r="97" spans="1:12">
      <c r="A97" s="12">
        <v>89</v>
      </c>
      <c r="B97" s="20" t="s">
        <v>247</v>
      </c>
      <c r="C97" s="20"/>
      <c r="D97" s="20"/>
      <c r="E97" s="17">
        <v>1</v>
      </c>
      <c r="F97" s="17" t="s">
        <v>57</v>
      </c>
      <c r="G97" s="37">
        <v>45888</v>
      </c>
      <c r="H97" s="37">
        <v>45901</v>
      </c>
      <c r="I97" s="20"/>
      <c r="J97" s="20"/>
      <c r="K97" s="20"/>
      <c r="L97" s="20"/>
    </row>
    <row r="98" spans="1:12">
      <c r="A98" s="12">
        <v>90</v>
      </c>
      <c r="B98" s="20" t="s">
        <v>248</v>
      </c>
      <c r="C98" s="20"/>
      <c r="D98" s="20"/>
      <c r="E98" s="20"/>
      <c r="F98" s="20" t="s">
        <v>63</v>
      </c>
      <c r="G98" s="37">
        <v>45888</v>
      </c>
      <c r="H98" s="37">
        <v>45901</v>
      </c>
      <c r="I98" s="20"/>
      <c r="J98" s="20"/>
      <c r="K98" s="20"/>
      <c r="L98" s="20"/>
    </row>
    <row r="99" spans="1:12">
      <c r="A99" s="12">
        <v>91</v>
      </c>
      <c r="B99" s="20" t="s">
        <v>249</v>
      </c>
      <c r="C99" s="21"/>
      <c r="D99" s="17"/>
      <c r="E99" s="16">
        <v>1</v>
      </c>
      <c r="F99" s="20" t="s">
        <v>70</v>
      </c>
      <c r="G99" s="37">
        <v>45888</v>
      </c>
      <c r="H99" s="37">
        <v>45901</v>
      </c>
      <c r="I99" s="20"/>
      <c r="J99" s="20"/>
      <c r="K99" s="20"/>
      <c r="L99" s="20"/>
    </row>
    <row r="100" spans="1:12">
      <c r="A100" s="12">
        <v>92</v>
      </c>
      <c r="B100" s="20" t="s">
        <v>250</v>
      </c>
      <c r="C100" s="14"/>
      <c r="D100" s="15"/>
      <c r="E100" s="17">
        <v>1</v>
      </c>
      <c r="F100" s="17" t="s">
        <v>57</v>
      </c>
      <c r="G100" s="37">
        <v>45888</v>
      </c>
      <c r="H100" s="37">
        <v>45901</v>
      </c>
      <c r="I100" s="20"/>
      <c r="J100" s="20"/>
      <c r="K100" s="20"/>
      <c r="L100" s="20"/>
    </row>
    <row r="101" spans="1:12">
      <c r="A101" s="12">
        <v>93</v>
      </c>
      <c r="B101" s="20" t="s">
        <v>251</v>
      </c>
      <c r="C101" s="20"/>
      <c r="D101" s="20"/>
      <c r="E101" s="16">
        <v>1</v>
      </c>
      <c r="F101" s="20" t="s">
        <v>60</v>
      </c>
      <c r="G101" s="37">
        <v>45888</v>
      </c>
      <c r="H101" s="37">
        <v>45901</v>
      </c>
      <c r="I101" s="20"/>
      <c r="J101" s="20"/>
      <c r="K101" s="20"/>
      <c r="L101" s="20"/>
    </row>
    <row r="102" spans="1:12">
      <c r="A102" s="12">
        <v>94</v>
      </c>
      <c r="B102" s="20" t="s">
        <v>252</v>
      </c>
      <c r="C102" s="21"/>
      <c r="D102" s="17"/>
      <c r="E102" s="16">
        <v>1</v>
      </c>
      <c r="F102" s="20" t="s">
        <v>65</v>
      </c>
      <c r="G102" s="37">
        <v>45888</v>
      </c>
      <c r="H102" s="37">
        <v>45901</v>
      </c>
      <c r="I102" s="20"/>
      <c r="J102" s="20"/>
      <c r="K102" s="20"/>
      <c r="L102" s="20"/>
    </row>
    <row r="103" spans="1:12">
      <c r="A103" s="12">
        <v>95</v>
      </c>
      <c r="B103" s="20" t="s">
        <v>253</v>
      </c>
      <c r="C103" s="20"/>
      <c r="D103" s="41"/>
      <c r="E103" s="17">
        <v>1</v>
      </c>
      <c r="F103" s="17" t="s">
        <v>56</v>
      </c>
      <c r="G103" s="37">
        <v>45888</v>
      </c>
      <c r="H103" s="37">
        <v>45901</v>
      </c>
      <c r="I103" s="20"/>
      <c r="J103" s="20"/>
      <c r="K103" s="20"/>
      <c r="L103" s="20"/>
    </row>
    <row r="104" spans="1:12">
      <c r="A104" s="12">
        <v>96</v>
      </c>
      <c r="B104" s="20" t="s">
        <v>254</v>
      </c>
      <c r="C104" s="20"/>
      <c r="D104" s="17"/>
      <c r="E104" s="16"/>
      <c r="F104" s="20" t="s">
        <v>65</v>
      </c>
      <c r="G104" s="37">
        <v>45888</v>
      </c>
      <c r="H104" s="37">
        <v>45901</v>
      </c>
      <c r="I104" s="20"/>
      <c r="J104" s="20"/>
      <c r="K104" s="20"/>
      <c r="L104" s="20"/>
    </row>
    <row r="105" spans="1:12">
      <c r="A105" s="12">
        <v>96</v>
      </c>
      <c r="B105" s="20" t="s">
        <v>255</v>
      </c>
      <c r="C105" s="20"/>
      <c r="D105" s="20"/>
      <c r="E105" s="17">
        <v>2</v>
      </c>
      <c r="F105" s="20" t="s">
        <v>65</v>
      </c>
      <c r="G105" s="37">
        <v>45888</v>
      </c>
      <c r="H105" s="37">
        <v>45901</v>
      </c>
      <c r="I105" s="20"/>
      <c r="J105" s="20"/>
      <c r="K105" s="20"/>
      <c r="L105" s="20"/>
    </row>
    <row r="106" spans="1:12">
      <c r="A106" s="12">
        <v>97</v>
      </c>
      <c r="B106" s="20" t="s">
        <v>256</v>
      </c>
      <c r="C106" s="21"/>
      <c r="D106" s="17"/>
      <c r="E106" s="16">
        <v>1</v>
      </c>
      <c r="F106" s="20" t="s">
        <v>70</v>
      </c>
      <c r="G106" s="37">
        <v>45888</v>
      </c>
      <c r="H106" s="37">
        <v>45901</v>
      </c>
      <c r="I106" s="20"/>
      <c r="J106" s="20"/>
      <c r="K106" s="20"/>
      <c r="L106" s="20"/>
    </row>
    <row r="107" spans="1:12">
      <c r="A107" s="12">
        <v>98</v>
      </c>
      <c r="B107" s="20" t="s">
        <v>257</v>
      </c>
      <c r="C107" s="20"/>
      <c r="D107" s="20"/>
      <c r="E107" s="16">
        <v>1</v>
      </c>
      <c r="F107" s="20" t="s">
        <v>63</v>
      </c>
      <c r="G107" s="37">
        <v>45888</v>
      </c>
      <c r="H107" s="37">
        <v>45901</v>
      </c>
      <c r="I107" s="20"/>
      <c r="J107" s="20"/>
      <c r="K107" s="20"/>
      <c r="L107" s="20"/>
    </row>
    <row r="108" spans="1:12">
      <c r="A108" s="12">
        <v>99</v>
      </c>
      <c r="B108" s="20" t="s">
        <v>258</v>
      </c>
      <c r="C108" s="21"/>
      <c r="D108" s="17"/>
      <c r="E108" s="16" t="s">
        <v>71</v>
      </c>
      <c r="F108" s="20" t="s">
        <v>72</v>
      </c>
      <c r="G108" s="37">
        <v>45888</v>
      </c>
      <c r="H108" s="37">
        <v>45901</v>
      </c>
      <c r="I108" s="20"/>
      <c r="J108" s="20"/>
      <c r="K108" s="20"/>
      <c r="L108" s="20"/>
    </row>
    <row r="109" spans="1:12">
      <c r="A109" s="12">
        <v>100</v>
      </c>
      <c r="B109" s="20" t="s">
        <v>259</v>
      </c>
      <c r="C109" s="21"/>
      <c r="D109" s="17"/>
      <c r="E109" s="16">
        <v>1</v>
      </c>
      <c r="F109" s="20" t="s">
        <v>60</v>
      </c>
      <c r="G109" s="37">
        <v>45888</v>
      </c>
      <c r="H109" s="37">
        <v>45901</v>
      </c>
      <c r="I109" s="20"/>
      <c r="J109" s="20"/>
      <c r="K109" s="20"/>
      <c r="L109" s="20"/>
    </row>
    <row r="110" spans="1:12">
      <c r="A110" s="12">
        <v>101</v>
      </c>
      <c r="B110" s="20" t="s">
        <v>260</v>
      </c>
      <c r="C110" s="21"/>
      <c r="D110" s="17"/>
      <c r="E110" s="17" t="s">
        <v>58</v>
      </c>
      <c r="F110" s="20" t="s">
        <v>65</v>
      </c>
      <c r="G110" s="37">
        <v>45888</v>
      </c>
      <c r="H110" s="37">
        <v>45901</v>
      </c>
      <c r="I110" s="20"/>
      <c r="J110" s="20"/>
      <c r="K110" s="20"/>
      <c r="L110" s="20"/>
    </row>
  </sheetData>
  <sortState ref="B9:J119">
    <sortCondition ref="B9"/>
  </sortState>
  <mergeCells count="4">
    <mergeCell ref="A1:L1"/>
    <mergeCell ref="A2:L2"/>
    <mergeCell ref="F3:H3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100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/>
  </sheetPr>
  <dimension ref="A1:L97"/>
  <sheetViews>
    <sheetView zoomScale="98" zoomScaleNormal="45" workbookViewId="0">
      <selection activeCell="I26" sqref="I26"/>
    </sheetView>
  </sheetViews>
  <sheetFormatPr defaultRowHeight="13.8"/>
  <cols>
    <col min="1" max="1" width="4.09765625" customWidth="1"/>
    <col min="2" max="2" width="20.3984375" customWidth="1"/>
    <col min="3" max="3" width="10.59765625" customWidth="1"/>
    <col min="4" max="4" width="9" customWidth="1"/>
    <col min="5" max="5" width="7.3984375" customWidth="1"/>
    <col min="6" max="6" width="13.3984375" customWidth="1"/>
    <col min="7" max="7" width="10.8984375" customWidth="1"/>
    <col min="8" max="8" width="9.8984375" customWidth="1"/>
    <col min="9" max="9" width="9.69921875" customWidth="1"/>
  </cols>
  <sheetData>
    <row r="1" spans="1:12" ht="22.2">
      <c r="A1" s="58">
        <v>45902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2">
      <c r="A2" s="59" t="s">
        <v>0</v>
      </c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6"/>
      <c r="L3" s="6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9"/>
      <c r="L4" s="9"/>
    </row>
    <row r="5" spans="1:12" ht="14.25" customHeight="1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2"/>
      <c r="L5" s="2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9"/>
      <c r="L6" s="9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"/>
      <c r="L7" s="2"/>
    </row>
    <row r="8" spans="1:12" ht="55.2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2">
      <c r="A9" s="12">
        <v>1</v>
      </c>
      <c r="B9" s="12" t="s">
        <v>159</v>
      </c>
      <c r="C9" s="21"/>
      <c r="D9" s="41"/>
      <c r="E9" s="16">
        <v>1</v>
      </c>
      <c r="F9" s="17" t="s">
        <v>56</v>
      </c>
      <c r="G9" s="37">
        <v>45891</v>
      </c>
      <c r="H9" s="37">
        <v>45902</v>
      </c>
      <c r="I9" s="19"/>
      <c r="J9" s="20"/>
      <c r="K9" s="20"/>
      <c r="L9" s="20"/>
    </row>
    <row r="10" spans="1:12">
      <c r="A10" s="12">
        <v>2</v>
      </c>
      <c r="B10" s="12" t="s">
        <v>160</v>
      </c>
      <c r="C10" s="20"/>
      <c r="D10" s="41"/>
      <c r="E10" s="17">
        <v>1</v>
      </c>
      <c r="F10" s="17" t="s">
        <v>57</v>
      </c>
      <c r="G10" s="37">
        <v>45889</v>
      </c>
      <c r="H10" s="37">
        <v>45902</v>
      </c>
      <c r="I10" s="19"/>
      <c r="J10" s="20"/>
      <c r="K10" s="20"/>
      <c r="L10" s="23"/>
    </row>
    <row r="11" spans="1:12">
      <c r="A11" s="12">
        <v>3</v>
      </c>
      <c r="B11" s="12" t="s">
        <v>161</v>
      </c>
      <c r="C11" s="20"/>
      <c r="D11" s="41"/>
      <c r="E11" s="17">
        <v>1</v>
      </c>
      <c r="F11" s="17" t="s">
        <v>56</v>
      </c>
      <c r="G11" s="37">
        <v>45889</v>
      </c>
      <c r="H11" s="37">
        <v>45902</v>
      </c>
      <c r="I11" s="19"/>
      <c r="J11" s="22"/>
      <c r="K11" s="23"/>
      <c r="L11" s="20"/>
    </row>
    <row r="12" spans="1:12">
      <c r="A12" s="12">
        <v>4</v>
      </c>
      <c r="B12" s="12" t="s">
        <v>162</v>
      </c>
      <c r="C12" s="21"/>
      <c r="D12" s="17"/>
      <c r="E12" s="17" t="s">
        <v>71</v>
      </c>
      <c r="F12" s="17" t="s">
        <v>78</v>
      </c>
      <c r="G12" s="37">
        <v>45889</v>
      </c>
      <c r="H12" s="37">
        <v>45902</v>
      </c>
      <c r="I12" s="19"/>
      <c r="J12" s="20"/>
      <c r="K12" s="20"/>
      <c r="L12" s="20"/>
    </row>
    <row r="13" spans="1:12">
      <c r="A13" s="12">
        <v>5</v>
      </c>
      <c r="B13" s="12" t="s">
        <v>163</v>
      </c>
      <c r="C13" s="20"/>
      <c r="D13" s="20"/>
      <c r="E13" s="17">
        <v>1</v>
      </c>
      <c r="F13" s="17" t="s">
        <v>57</v>
      </c>
      <c r="G13" s="37">
        <v>45891</v>
      </c>
      <c r="H13" s="37">
        <v>45902</v>
      </c>
      <c r="I13" s="19"/>
      <c r="J13" s="20"/>
      <c r="K13" s="20"/>
      <c r="L13" s="23"/>
    </row>
    <row r="14" spans="1:12">
      <c r="A14" s="12">
        <v>6</v>
      </c>
      <c r="B14" s="12" t="s">
        <v>164</v>
      </c>
      <c r="C14" s="21"/>
      <c r="D14" s="17"/>
      <c r="E14" s="16" t="s">
        <v>90</v>
      </c>
      <c r="F14" s="17" t="s">
        <v>78</v>
      </c>
      <c r="G14" s="37">
        <v>45891</v>
      </c>
      <c r="H14" s="37">
        <v>45902</v>
      </c>
      <c r="I14" s="19"/>
      <c r="J14" s="20"/>
      <c r="K14" s="20"/>
      <c r="L14" s="23"/>
    </row>
    <row r="15" spans="1:12">
      <c r="A15" s="12">
        <v>7</v>
      </c>
      <c r="B15" s="12" t="s">
        <v>165</v>
      </c>
      <c r="C15" s="20"/>
      <c r="D15" s="20"/>
      <c r="E15" s="42" t="s">
        <v>71</v>
      </c>
      <c r="F15" s="42" t="s">
        <v>78</v>
      </c>
      <c r="G15" s="37">
        <v>45891</v>
      </c>
      <c r="H15" s="37">
        <v>45902</v>
      </c>
      <c r="I15" s="19"/>
      <c r="J15" s="22"/>
      <c r="K15" s="23"/>
      <c r="L15" s="20"/>
    </row>
    <row r="16" spans="1:12">
      <c r="A16" s="12">
        <v>8</v>
      </c>
      <c r="B16" s="12" t="s">
        <v>166</v>
      </c>
      <c r="C16" s="21"/>
      <c r="D16" s="17"/>
      <c r="E16" s="16" t="s">
        <v>91</v>
      </c>
      <c r="F16" s="17" t="s">
        <v>62</v>
      </c>
      <c r="G16" s="37">
        <v>45891</v>
      </c>
      <c r="H16" s="37">
        <v>45902</v>
      </c>
      <c r="I16" s="19"/>
      <c r="J16" s="20"/>
      <c r="K16" s="20"/>
      <c r="L16" s="23"/>
    </row>
    <row r="17" spans="1:12">
      <c r="A17" s="12">
        <v>9</v>
      </c>
      <c r="B17" s="12" t="s">
        <v>167</v>
      </c>
      <c r="C17" s="21"/>
      <c r="D17" s="17"/>
      <c r="E17" s="16" t="s">
        <v>92</v>
      </c>
      <c r="F17" s="17" t="s">
        <v>62</v>
      </c>
      <c r="G17" s="37">
        <v>45891</v>
      </c>
      <c r="H17" s="37">
        <v>45902</v>
      </c>
      <c r="I17" s="19"/>
      <c r="J17" s="20"/>
      <c r="K17" s="20"/>
      <c r="L17" s="23"/>
    </row>
    <row r="18" spans="1:12">
      <c r="A18" s="12">
        <v>10</v>
      </c>
      <c r="B18" s="12" t="s">
        <v>168</v>
      </c>
      <c r="C18" s="20"/>
      <c r="D18" s="20"/>
      <c r="E18" s="42" t="s">
        <v>58</v>
      </c>
      <c r="F18" s="44" t="s">
        <v>89</v>
      </c>
      <c r="G18" s="37">
        <v>45891</v>
      </c>
      <c r="H18" s="37">
        <v>45902</v>
      </c>
      <c r="I18" s="19"/>
      <c r="J18" s="22"/>
      <c r="K18" s="23"/>
      <c r="L18" s="20"/>
    </row>
    <row r="19" spans="1:12">
      <c r="A19" s="12">
        <v>11</v>
      </c>
      <c r="B19" s="12" t="s">
        <v>169</v>
      </c>
      <c r="C19" s="20"/>
      <c r="D19" s="41"/>
      <c r="E19" s="17">
        <v>1</v>
      </c>
      <c r="F19" s="17" t="s">
        <v>57</v>
      </c>
      <c r="G19" s="37">
        <v>45889</v>
      </c>
      <c r="H19" s="37">
        <v>45902</v>
      </c>
      <c r="I19" s="19"/>
      <c r="J19" s="20"/>
      <c r="K19" s="20"/>
      <c r="L19" s="20"/>
    </row>
    <row r="20" spans="1:12">
      <c r="A20" s="12">
        <v>12</v>
      </c>
      <c r="B20" s="12" t="s">
        <v>170</v>
      </c>
      <c r="C20" s="21"/>
      <c r="D20" s="41"/>
      <c r="E20" s="16">
        <v>1</v>
      </c>
      <c r="F20" s="17" t="s">
        <v>76</v>
      </c>
      <c r="G20" s="37">
        <v>45891</v>
      </c>
      <c r="H20" s="37">
        <v>45902</v>
      </c>
      <c r="I20" s="19"/>
      <c r="J20" s="20"/>
      <c r="K20" s="20"/>
      <c r="L20" s="23"/>
    </row>
    <row r="21" spans="1:12">
      <c r="A21" s="12">
        <v>13</v>
      </c>
      <c r="B21" s="12" t="s">
        <v>171</v>
      </c>
      <c r="C21" s="20"/>
      <c r="D21" s="41"/>
      <c r="E21" s="17">
        <v>1</v>
      </c>
      <c r="F21" s="17" t="s">
        <v>57</v>
      </c>
      <c r="G21" s="37">
        <v>45889</v>
      </c>
      <c r="H21" s="37">
        <v>45902</v>
      </c>
      <c r="I21" s="19"/>
      <c r="J21" s="22"/>
      <c r="K21" s="23"/>
      <c r="L21" s="23"/>
    </row>
    <row r="22" spans="1:12">
      <c r="A22" s="12">
        <v>14</v>
      </c>
      <c r="B22" s="12" t="s">
        <v>172</v>
      </c>
      <c r="C22" s="21"/>
      <c r="D22" s="20"/>
      <c r="E22" s="17">
        <v>1</v>
      </c>
      <c r="F22" s="17" t="s">
        <v>56</v>
      </c>
      <c r="G22" s="37">
        <v>45889</v>
      </c>
      <c r="H22" s="37">
        <v>45902</v>
      </c>
      <c r="I22" s="19"/>
      <c r="J22" s="22"/>
      <c r="K22" s="23"/>
      <c r="L22" s="20"/>
    </row>
    <row r="23" spans="1:12">
      <c r="A23" s="12">
        <v>15</v>
      </c>
      <c r="B23" s="12" t="s">
        <v>173</v>
      </c>
      <c r="C23" s="21"/>
      <c r="D23" s="17"/>
      <c r="E23" s="16">
        <v>1</v>
      </c>
      <c r="F23" s="17" t="s">
        <v>49</v>
      </c>
      <c r="G23" s="37">
        <v>45891</v>
      </c>
      <c r="H23" s="37">
        <v>45902</v>
      </c>
      <c r="I23" s="19"/>
      <c r="J23" s="20"/>
      <c r="K23" s="20"/>
      <c r="L23" s="20"/>
    </row>
    <row r="24" spans="1:12">
      <c r="A24" s="12">
        <v>16</v>
      </c>
      <c r="B24" s="12" t="s">
        <v>174</v>
      </c>
      <c r="C24" s="20"/>
      <c r="D24" s="41"/>
      <c r="E24" s="17">
        <v>1</v>
      </c>
      <c r="F24" s="17" t="s">
        <v>57</v>
      </c>
      <c r="G24" s="37">
        <v>45889</v>
      </c>
      <c r="H24" s="37">
        <v>45902</v>
      </c>
      <c r="I24" s="19"/>
      <c r="J24" s="20"/>
      <c r="K24" s="20"/>
      <c r="L24" s="23"/>
    </row>
    <row r="25" spans="1:12">
      <c r="A25" s="12">
        <v>17</v>
      </c>
      <c r="B25" s="12" t="s">
        <v>175</v>
      </c>
      <c r="C25" s="20"/>
      <c r="D25" s="20"/>
      <c r="E25" s="42">
        <v>1</v>
      </c>
      <c r="F25" s="42" t="s">
        <v>56</v>
      </c>
      <c r="G25" s="37">
        <v>45891</v>
      </c>
      <c r="H25" s="37">
        <v>45902</v>
      </c>
      <c r="I25" s="19"/>
      <c r="J25" s="22"/>
      <c r="K25" s="20"/>
      <c r="L25" s="23"/>
    </row>
    <row r="26" spans="1:12">
      <c r="A26" s="12">
        <v>18</v>
      </c>
      <c r="B26" s="12" t="s">
        <v>176</v>
      </c>
      <c r="C26" s="20"/>
      <c r="D26" s="20"/>
      <c r="E26" s="42" t="s">
        <v>58</v>
      </c>
      <c r="F26" s="44" t="s">
        <v>89</v>
      </c>
      <c r="G26" s="37">
        <v>45891</v>
      </c>
      <c r="H26" s="37">
        <v>45902</v>
      </c>
      <c r="I26" s="19"/>
      <c r="J26" s="22"/>
      <c r="K26" s="23"/>
      <c r="L26" s="23"/>
    </row>
    <row r="27" spans="1:12">
      <c r="A27" s="12">
        <v>19</v>
      </c>
      <c r="B27" s="12" t="s">
        <v>177</v>
      </c>
      <c r="C27" s="20"/>
      <c r="D27" s="41"/>
      <c r="E27" s="17">
        <v>3</v>
      </c>
      <c r="F27" s="17" t="s">
        <v>57</v>
      </c>
      <c r="G27" s="37">
        <v>45889</v>
      </c>
      <c r="H27" s="37">
        <v>45902</v>
      </c>
      <c r="I27" s="19"/>
      <c r="J27" s="22"/>
      <c r="K27" s="23"/>
      <c r="L27" s="20"/>
    </row>
    <row r="28" spans="1:12">
      <c r="A28" s="12">
        <v>20</v>
      </c>
      <c r="B28" s="12" t="s">
        <v>178</v>
      </c>
      <c r="C28" s="20"/>
      <c r="D28" s="20"/>
      <c r="E28" s="42" t="s">
        <v>58</v>
      </c>
      <c r="F28" s="42" t="s">
        <v>78</v>
      </c>
      <c r="G28" s="37">
        <v>45891</v>
      </c>
      <c r="H28" s="37">
        <v>45902</v>
      </c>
      <c r="I28" s="19"/>
      <c r="J28" s="20"/>
      <c r="K28" s="20"/>
      <c r="L28" s="23"/>
    </row>
    <row r="29" spans="1:12">
      <c r="A29" s="12">
        <v>21</v>
      </c>
      <c r="B29" s="12" t="s">
        <v>179</v>
      </c>
      <c r="C29" s="21"/>
      <c r="D29" s="41"/>
      <c r="E29" s="16">
        <v>1</v>
      </c>
      <c r="F29" s="17" t="s">
        <v>49</v>
      </c>
      <c r="G29" s="37">
        <v>45891</v>
      </c>
      <c r="H29" s="37">
        <v>45902</v>
      </c>
      <c r="I29" s="19"/>
      <c r="J29" s="20"/>
      <c r="K29" s="20"/>
      <c r="L29" s="23"/>
    </row>
    <row r="30" spans="1:12">
      <c r="A30" s="12">
        <v>22</v>
      </c>
      <c r="B30" s="12" t="s">
        <v>180</v>
      </c>
      <c r="C30" s="20"/>
      <c r="D30" s="41"/>
      <c r="E30" s="17">
        <v>1</v>
      </c>
      <c r="F30" s="17" t="s">
        <v>56</v>
      </c>
      <c r="G30" s="37">
        <v>45889</v>
      </c>
      <c r="H30" s="37">
        <v>45902</v>
      </c>
      <c r="I30" s="19"/>
      <c r="J30" s="20"/>
      <c r="K30" s="20"/>
      <c r="L30" s="20"/>
    </row>
    <row r="31" spans="1:12">
      <c r="A31" s="12">
        <v>23</v>
      </c>
      <c r="B31" s="12" t="s">
        <v>181</v>
      </c>
      <c r="C31" s="21"/>
      <c r="D31" s="41"/>
      <c r="E31" s="16">
        <v>1</v>
      </c>
      <c r="F31" s="17" t="s">
        <v>56</v>
      </c>
      <c r="G31" s="37">
        <v>45891</v>
      </c>
      <c r="H31" s="37">
        <v>45902</v>
      </c>
      <c r="I31" s="19"/>
      <c r="J31" s="20"/>
      <c r="K31" s="20"/>
      <c r="L31" s="23"/>
    </row>
    <row r="32" spans="1:12">
      <c r="A32" s="12">
        <v>24</v>
      </c>
      <c r="B32" s="12" t="s">
        <v>182</v>
      </c>
      <c r="C32" s="21"/>
      <c r="D32" s="41"/>
      <c r="E32" s="16">
        <v>1</v>
      </c>
      <c r="F32" s="17" t="s">
        <v>56</v>
      </c>
      <c r="G32" s="37">
        <v>45891</v>
      </c>
      <c r="H32" s="37">
        <v>45902</v>
      </c>
      <c r="I32" s="19"/>
      <c r="J32" s="20"/>
      <c r="K32" s="20"/>
      <c r="L32" s="20"/>
    </row>
    <row r="33" spans="1:12">
      <c r="A33" s="12">
        <v>25</v>
      </c>
      <c r="B33" s="12" t="s">
        <v>183</v>
      </c>
      <c r="C33" s="21"/>
      <c r="D33" s="41"/>
      <c r="E33" s="16">
        <v>1</v>
      </c>
      <c r="F33" s="17" t="s">
        <v>62</v>
      </c>
      <c r="G33" s="37">
        <v>45891</v>
      </c>
      <c r="H33" s="37">
        <v>45902</v>
      </c>
      <c r="I33" s="19"/>
      <c r="J33" s="22"/>
      <c r="K33" s="23"/>
      <c r="L33" s="20"/>
    </row>
    <row r="34" spans="1:12">
      <c r="A34" s="12">
        <v>26</v>
      </c>
      <c r="B34" s="12" t="s">
        <v>184</v>
      </c>
      <c r="C34" s="21"/>
      <c r="D34" s="41"/>
      <c r="E34" s="16">
        <v>2</v>
      </c>
      <c r="F34" s="17" t="s">
        <v>62</v>
      </c>
      <c r="G34" s="37">
        <v>45891</v>
      </c>
      <c r="H34" s="37">
        <v>45902</v>
      </c>
      <c r="I34" s="19"/>
      <c r="J34" s="22"/>
      <c r="K34" s="23"/>
      <c r="L34" s="20"/>
    </row>
    <row r="35" spans="1:12">
      <c r="A35" s="12">
        <v>27</v>
      </c>
      <c r="B35" s="12" t="s">
        <v>185</v>
      </c>
      <c r="C35" s="20"/>
      <c r="D35" s="20"/>
      <c r="E35" s="42">
        <v>1</v>
      </c>
      <c r="F35" s="42" t="s">
        <v>85</v>
      </c>
      <c r="G35" s="37">
        <v>45891</v>
      </c>
      <c r="H35" s="37">
        <v>45902</v>
      </c>
      <c r="I35" s="19"/>
      <c r="J35" s="22"/>
      <c r="K35" s="23"/>
      <c r="L35" s="20"/>
    </row>
    <row r="36" spans="1:12">
      <c r="A36" s="12">
        <v>28</v>
      </c>
      <c r="B36" s="12" t="s">
        <v>186</v>
      </c>
      <c r="C36" s="21"/>
      <c r="D36" s="41"/>
      <c r="E36" s="16">
        <v>3</v>
      </c>
      <c r="F36" s="17" t="s">
        <v>57</v>
      </c>
      <c r="G36" s="37">
        <v>45891</v>
      </c>
      <c r="H36" s="37">
        <v>45902</v>
      </c>
      <c r="I36" s="19"/>
      <c r="J36" s="20"/>
      <c r="K36" s="20"/>
      <c r="L36" s="20"/>
    </row>
    <row r="37" spans="1:12">
      <c r="A37" s="12">
        <v>29</v>
      </c>
      <c r="B37" s="12" t="s">
        <v>187</v>
      </c>
      <c r="C37" s="20"/>
      <c r="D37" s="41"/>
      <c r="E37" s="17">
        <v>1</v>
      </c>
      <c r="F37" s="17" t="s">
        <v>76</v>
      </c>
      <c r="G37" s="37">
        <v>45889</v>
      </c>
      <c r="H37" s="37">
        <v>45902</v>
      </c>
      <c r="I37" s="19"/>
      <c r="J37" s="22"/>
      <c r="K37" s="23"/>
      <c r="L37" s="20"/>
    </row>
    <row r="38" spans="1:12">
      <c r="A38" s="12">
        <v>30</v>
      </c>
      <c r="B38" s="12" t="s">
        <v>188</v>
      </c>
      <c r="C38" s="20"/>
      <c r="D38" s="20"/>
      <c r="E38" s="17">
        <v>1</v>
      </c>
      <c r="F38" s="17" t="s">
        <v>57</v>
      </c>
      <c r="G38" s="37">
        <v>45889</v>
      </c>
      <c r="H38" s="37">
        <v>45902</v>
      </c>
      <c r="I38" s="19"/>
      <c r="J38" s="22"/>
      <c r="K38" s="23"/>
      <c r="L38" s="20"/>
    </row>
    <row r="39" spans="1:12">
      <c r="A39" s="12">
        <v>31</v>
      </c>
      <c r="B39" s="12" t="s">
        <v>189</v>
      </c>
      <c r="C39" s="21"/>
      <c r="D39" s="41"/>
      <c r="E39" s="16">
        <v>1</v>
      </c>
      <c r="F39" s="17" t="s">
        <v>57</v>
      </c>
      <c r="G39" s="37">
        <v>45891</v>
      </c>
      <c r="H39" s="37">
        <v>45902</v>
      </c>
      <c r="I39" s="19"/>
      <c r="J39" s="20"/>
      <c r="K39" s="20"/>
      <c r="L39" s="20"/>
    </row>
    <row r="40" spans="1:12">
      <c r="A40" s="12">
        <v>32</v>
      </c>
      <c r="B40" s="12" t="s">
        <v>190</v>
      </c>
      <c r="C40" s="21"/>
      <c r="D40" s="41"/>
      <c r="E40" s="16">
        <v>1</v>
      </c>
      <c r="F40" s="17" t="s">
        <v>56</v>
      </c>
      <c r="G40" s="37">
        <v>45891</v>
      </c>
      <c r="H40" s="37">
        <v>45902</v>
      </c>
      <c r="I40" s="19"/>
      <c r="J40" s="20"/>
      <c r="K40" s="20"/>
      <c r="L40" s="20"/>
    </row>
    <row r="41" spans="1:12">
      <c r="A41" s="12">
        <v>33</v>
      </c>
      <c r="B41" s="12" t="s">
        <v>191</v>
      </c>
      <c r="C41" s="43"/>
      <c r="D41" s="41"/>
      <c r="E41" s="42">
        <v>1</v>
      </c>
      <c r="F41" s="42" t="s">
        <v>57</v>
      </c>
      <c r="G41" s="37">
        <v>45891</v>
      </c>
      <c r="H41" s="37">
        <v>45902</v>
      </c>
      <c r="I41" s="19"/>
      <c r="J41" s="20"/>
      <c r="K41" s="20"/>
      <c r="L41" s="20"/>
    </row>
    <row r="42" spans="1:12">
      <c r="A42" s="12">
        <v>34</v>
      </c>
      <c r="B42" s="12" t="s">
        <v>192</v>
      </c>
      <c r="C42" s="20"/>
      <c r="D42" s="41"/>
      <c r="E42" s="17">
        <v>1</v>
      </c>
      <c r="F42" s="17" t="s">
        <v>57</v>
      </c>
      <c r="G42" s="37">
        <v>45889</v>
      </c>
      <c r="H42" s="37">
        <v>45902</v>
      </c>
      <c r="I42" s="19"/>
      <c r="J42" s="22"/>
      <c r="K42" s="23"/>
      <c r="L42" s="20"/>
    </row>
    <row r="43" spans="1:12">
      <c r="A43" s="12">
        <v>35</v>
      </c>
      <c r="B43" s="12" t="s">
        <v>193</v>
      </c>
      <c r="C43" s="20"/>
      <c r="D43" s="41"/>
      <c r="E43" s="17" t="s">
        <v>61</v>
      </c>
      <c r="F43" s="17" t="s">
        <v>57</v>
      </c>
      <c r="G43" s="37">
        <v>45889</v>
      </c>
      <c r="H43" s="37">
        <v>45902</v>
      </c>
      <c r="I43" s="19"/>
      <c r="J43" s="20"/>
      <c r="K43" s="20"/>
      <c r="L43" s="20"/>
    </row>
    <row r="44" spans="1:12">
      <c r="A44" s="12">
        <v>36</v>
      </c>
      <c r="B44" s="12" t="s">
        <v>194</v>
      </c>
      <c r="C44" s="20"/>
      <c r="D44" s="41"/>
      <c r="E44" s="17">
        <v>1</v>
      </c>
      <c r="F44" s="17" t="s">
        <v>57</v>
      </c>
      <c r="G44" s="37">
        <v>45889</v>
      </c>
      <c r="H44" s="37">
        <v>45902</v>
      </c>
      <c r="I44" s="19"/>
      <c r="J44" s="20"/>
      <c r="K44" s="20"/>
      <c r="L44" s="20"/>
    </row>
    <row r="45" spans="1:12">
      <c r="A45" s="12">
        <v>37</v>
      </c>
      <c r="B45" s="12" t="s">
        <v>195</v>
      </c>
      <c r="C45" s="20"/>
      <c r="D45" s="41"/>
      <c r="E45" s="17" t="s">
        <v>61</v>
      </c>
      <c r="F45" s="17" t="s">
        <v>57</v>
      </c>
      <c r="G45" s="37">
        <v>45889</v>
      </c>
      <c r="H45" s="37">
        <v>45902</v>
      </c>
      <c r="I45" s="19"/>
      <c r="J45" s="20"/>
      <c r="K45" s="20"/>
      <c r="L45" s="20"/>
    </row>
    <row r="46" spans="1:12">
      <c r="A46" s="12">
        <v>38</v>
      </c>
      <c r="B46" s="12" t="s">
        <v>196</v>
      </c>
      <c r="C46" s="20"/>
      <c r="D46" s="41"/>
      <c r="E46" s="17">
        <v>1</v>
      </c>
      <c r="F46" s="17" t="s">
        <v>56</v>
      </c>
      <c r="G46" s="37">
        <v>45889</v>
      </c>
      <c r="H46" s="37">
        <v>45902</v>
      </c>
      <c r="I46" s="19"/>
      <c r="J46" s="20"/>
      <c r="K46" s="20"/>
      <c r="L46" s="20"/>
    </row>
    <row r="47" spans="1:12">
      <c r="A47" s="12">
        <v>39</v>
      </c>
      <c r="B47" s="12" t="s">
        <v>197</v>
      </c>
      <c r="C47" s="21"/>
      <c r="D47" s="41"/>
      <c r="E47" s="16">
        <v>1</v>
      </c>
      <c r="F47" s="17" t="s">
        <v>56</v>
      </c>
      <c r="G47" s="37">
        <v>45891</v>
      </c>
      <c r="H47" s="37">
        <v>45902</v>
      </c>
      <c r="I47" s="19"/>
      <c r="J47" s="20"/>
      <c r="K47" s="20"/>
      <c r="L47" s="20"/>
    </row>
    <row r="48" spans="1:12">
      <c r="A48" s="12">
        <v>40</v>
      </c>
      <c r="B48" s="12" t="s">
        <v>198</v>
      </c>
      <c r="C48" s="20"/>
      <c r="D48" s="41"/>
      <c r="E48" s="42">
        <v>2</v>
      </c>
      <c r="F48" s="42" t="s">
        <v>57</v>
      </c>
      <c r="G48" s="37">
        <v>45891</v>
      </c>
      <c r="H48" s="37">
        <v>45902</v>
      </c>
      <c r="I48" s="19"/>
      <c r="J48" s="20"/>
      <c r="K48" s="20"/>
      <c r="L48" s="20"/>
    </row>
    <row r="49" spans="1:12">
      <c r="A49" s="12">
        <v>41</v>
      </c>
      <c r="B49" s="12" t="s">
        <v>199</v>
      </c>
      <c r="C49" s="20"/>
      <c r="D49" s="41"/>
      <c r="E49" s="17">
        <v>1</v>
      </c>
      <c r="F49" s="17" t="s">
        <v>62</v>
      </c>
      <c r="G49" s="37">
        <v>45889</v>
      </c>
      <c r="H49" s="37">
        <v>45902</v>
      </c>
      <c r="I49" s="19"/>
      <c r="J49" s="20"/>
      <c r="K49" s="20"/>
      <c r="L49" s="20"/>
    </row>
    <row r="50" spans="1:12">
      <c r="A50" s="12">
        <v>42</v>
      </c>
      <c r="B50" s="12" t="s">
        <v>200</v>
      </c>
      <c r="C50" s="20"/>
      <c r="D50" s="17"/>
      <c r="E50" s="17">
        <v>2</v>
      </c>
      <c r="F50" s="17" t="s">
        <v>62</v>
      </c>
      <c r="G50" s="37">
        <v>45889</v>
      </c>
      <c r="H50" s="37">
        <v>45902</v>
      </c>
      <c r="I50" s="19"/>
      <c r="J50" s="20"/>
      <c r="K50" s="20"/>
      <c r="L50" s="20"/>
    </row>
    <row r="51" spans="1:12">
      <c r="A51" s="12">
        <v>43</v>
      </c>
      <c r="B51" s="12" t="s">
        <v>201</v>
      </c>
      <c r="C51" s="21"/>
      <c r="D51" s="17"/>
      <c r="E51" s="16">
        <v>1</v>
      </c>
      <c r="F51" s="17" t="s">
        <v>49</v>
      </c>
      <c r="G51" s="37">
        <v>45891</v>
      </c>
      <c r="H51" s="37">
        <v>45902</v>
      </c>
      <c r="I51" s="19"/>
      <c r="J51" s="20"/>
      <c r="K51" s="20"/>
      <c r="L51" s="20"/>
    </row>
    <row r="52" spans="1:12">
      <c r="A52" s="12">
        <v>44</v>
      </c>
      <c r="B52" s="12" t="s">
        <v>202</v>
      </c>
      <c r="C52" s="20"/>
      <c r="D52" s="20"/>
      <c r="E52" s="42" t="s">
        <v>61</v>
      </c>
      <c r="F52" s="42" t="s">
        <v>86</v>
      </c>
      <c r="G52" s="37">
        <v>45891</v>
      </c>
      <c r="H52" s="37">
        <v>45902</v>
      </c>
      <c r="I52" s="19"/>
      <c r="J52" s="20"/>
      <c r="K52" s="20"/>
      <c r="L52" s="20"/>
    </row>
    <row r="53" spans="1:12">
      <c r="A53" s="12">
        <v>45</v>
      </c>
      <c r="B53" s="12" t="s">
        <v>203</v>
      </c>
      <c r="C53" s="21"/>
      <c r="D53" s="41"/>
      <c r="E53" s="16">
        <v>1</v>
      </c>
      <c r="F53" s="17" t="s">
        <v>56</v>
      </c>
      <c r="G53" s="37">
        <v>45891</v>
      </c>
      <c r="H53" s="37">
        <v>45902</v>
      </c>
      <c r="I53" s="19"/>
      <c r="J53" s="20"/>
      <c r="K53" s="20"/>
      <c r="L53" s="20"/>
    </row>
    <row r="54" spans="1:12">
      <c r="A54" s="12">
        <v>46</v>
      </c>
      <c r="B54" s="12" t="s">
        <v>204</v>
      </c>
      <c r="C54" s="20"/>
      <c r="D54" s="20"/>
      <c r="E54" s="17" t="s">
        <v>79</v>
      </c>
      <c r="F54" s="17" t="s">
        <v>80</v>
      </c>
      <c r="G54" s="37">
        <v>45889</v>
      </c>
      <c r="H54" s="37">
        <v>45902</v>
      </c>
      <c r="I54" s="19"/>
      <c r="J54" s="20"/>
      <c r="K54" s="20"/>
      <c r="L54" s="20"/>
    </row>
    <row r="55" spans="1:12">
      <c r="A55" s="12">
        <v>47</v>
      </c>
      <c r="B55" s="12" t="s">
        <v>205</v>
      </c>
      <c r="C55" s="20"/>
      <c r="D55" s="41"/>
      <c r="E55" s="16">
        <v>1</v>
      </c>
      <c r="F55" s="17" t="s">
        <v>56</v>
      </c>
      <c r="G55" s="37">
        <v>45891</v>
      </c>
      <c r="H55" s="37">
        <v>45902</v>
      </c>
      <c r="I55" s="19"/>
      <c r="J55" s="20"/>
      <c r="K55" s="20"/>
      <c r="L55" s="20"/>
    </row>
    <row r="56" spans="1:12">
      <c r="A56" s="12">
        <v>48</v>
      </c>
      <c r="B56" s="12" t="s">
        <v>206</v>
      </c>
      <c r="C56" s="21"/>
      <c r="D56" s="41"/>
      <c r="E56" s="16" t="s">
        <v>91</v>
      </c>
      <c r="F56" s="17" t="s">
        <v>62</v>
      </c>
      <c r="G56" s="37">
        <v>45891</v>
      </c>
      <c r="H56" s="37">
        <v>45902</v>
      </c>
      <c r="I56" s="19"/>
      <c r="J56" s="20"/>
      <c r="K56" s="20"/>
      <c r="L56" s="20"/>
    </row>
    <row r="57" spans="1:12">
      <c r="A57" s="12">
        <v>49</v>
      </c>
      <c r="B57" s="12" t="s">
        <v>207</v>
      </c>
      <c r="C57" s="21"/>
      <c r="D57" s="41"/>
      <c r="E57" s="16" t="s">
        <v>92</v>
      </c>
      <c r="F57" s="17" t="s">
        <v>62</v>
      </c>
      <c r="G57" s="37">
        <v>45891</v>
      </c>
      <c r="H57" s="37">
        <v>45902</v>
      </c>
      <c r="I57" s="19"/>
      <c r="J57" s="20"/>
      <c r="K57" s="20"/>
      <c r="L57" s="20"/>
    </row>
    <row r="58" spans="1:12">
      <c r="A58" s="12">
        <v>50</v>
      </c>
      <c r="B58" s="12" t="s">
        <v>208</v>
      </c>
      <c r="C58" s="21"/>
      <c r="D58" s="41"/>
      <c r="E58" s="17">
        <v>1</v>
      </c>
      <c r="F58" s="17" t="s">
        <v>56</v>
      </c>
      <c r="G58" s="37">
        <v>45889</v>
      </c>
      <c r="H58" s="37">
        <v>45902</v>
      </c>
      <c r="I58" s="19"/>
      <c r="J58" s="20"/>
      <c r="K58" s="20"/>
      <c r="L58" s="20"/>
    </row>
    <row r="59" spans="1:12">
      <c r="A59" s="12">
        <v>51</v>
      </c>
      <c r="B59" s="12" t="s">
        <v>209</v>
      </c>
      <c r="C59" s="20"/>
      <c r="D59" s="41"/>
      <c r="E59" s="17">
        <v>1</v>
      </c>
      <c r="F59" s="17" t="s">
        <v>56</v>
      </c>
      <c r="G59" s="37">
        <v>45889</v>
      </c>
      <c r="H59" s="37">
        <v>45902</v>
      </c>
      <c r="I59" s="19"/>
      <c r="J59" s="20"/>
      <c r="K59" s="20"/>
      <c r="L59" s="20"/>
    </row>
    <row r="60" spans="1:12">
      <c r="A60" s="12">
        <v>52</v>
      </c>
      <c r="B60" s="12" t="s">
        <v>210</v>
      </c>
      <c r="C60" s="21"/>
      <c r="D60" s="41"/>
      <c r="E60" s="16">
        <v>1</v>
      </c>
      <c r="F60" s="17" t="s">
        <v>56</v>
      </c>
      <c r="G60" s="37">
        <v>45891</v>
      </c>
      <c r="H60" s="37">
        <v>45902</v>
      </c>
      <c r="I60" s="19"/>
      <c r="J60" s="20"/>
      <c r="K60" s="20"/>
      <c r="L60" s="20"/>
    </row>
    <row r="61" spans="1:12">
      <c r="A61" s="12">
        <v>53</v>
      </c>
      <c r="B61" s="12" t="s">
        <v>211</v>
      </c>
      <c r="C61" s="21"/>
      <c r="D61" s="41"/>
      <c r="E61" s="17">
        <v>1</v>
      </c>
      <c r="F61" s="17" t="s">
        <v>56</v>
      </c>
      <c r="G61" s="37">
        <v>45889</v>
      </c>
      <c r="H61" s="37">
        <v>45902</v>
      </c>
      <c r="I61" s="19"/>
      <c r="J61" s="20"/>
      <c r="K61" s="20"/>
      <c r="L61" s="20"/>
    </row>
    <row r="62" spans="1:12">
      <c r="A62" s="12">
        <v>54</v>
      </c>
      <c r="B62" s="12" t="s">
        <v>212</v>
      </c>
      <c r="C62" s="20"/>
      <c r="D62" s="41"/>
      <c r="E62" s="17">
        <v>1</v>
      </c>
      <c r="F62" s="17" t="s">
        <v>56</v>
      </c>
      <c r="G62" s="37">
        <v>45889</v>
      </c>
      <c r="H62" s="37">
        <v>45902</v>
      </c>
      <c r="I62" s="19"/>
      <c r="J62" s="20"/>
      <c r="K62" s="20"/>
      <c r="L62" s="20"/>
    </row>
    <row r="63" spans="1:12">
      <c r="A63" s="12">
        <v>55</v>
      </c>
      <c r="B63" s="12" t="s">
        <v>213</v>
      </c>
      <c r="C63" s="20"/>
      <c r="D63" s="41"/>
      <c r="E63" s="17">
        <v>1</v>
      </c>
      <c r="F63" s="17" t="s">
        <v>57</v>
      </c>
      <c r="G63" s="37">
        <v>45889</v>
      </c>
      <c r="H63" s="37">
        <v>45902</v>
      </c>
      <c r="I63" s="19"/>
      <c r="J63" s="20"/>
      <c r="K63" s="20"/>
      <c r="L63" s="20"/>
    </row>
    <row r="64" spans="1:12">
      <c r="A64" s="12">
        <v>56</v>
      </c>
      <c r="B64" s="12" t="s">
        <v>214</v>
      </c>
      <c r="C64" s="21"/>
      <c r="D64" s="17"/>
      <c r="E64" s="17">
        <v>3</v>
      </c>
      <c r="F64" s="17" t="s">
        <v>57</v>
      </c>
      <c r="G64" s="37">
        <v>45889</v>
      </c>
      <c r="H64" s="37">
        <v>45902</v>
      </c>
      <c r="I64" s="19"/>
      <c r="J64" s="20"/>
      <c r="K64" s="20"/>
      <c r="L64" s="20"/>
    </row>
    <row r="65" spans="1:12">
      <c r="A65" s="12">
        <v>57</v>
      </c>
      <c r="B65" s="12" t="s">
        <v>215</v>
      </c>
      <c r="C65" s="20"/>
      <c r="D65" s="20"/>
      <c r="E65" s="42" t="s">
        <v>71</v>
      </c>
      <c r="F65" s="42" t="s">
        <v>78</v>
      </c>
      <c r="G65" s="37">
        <v>45891</v>
      </c>
      <c r="H65" s="37">
        <v>45902</v>
      </c>
      <c r="I65" s="19"/>
      <c r="J65" s="20"/>
      <c r="K65" s="20"/>
      <c r="L65" s="20"/>
    </row>
    <row r="66" spans="1:12">
      <c r="A66" s="12">
        <v>58</v>
      </c>
      <c r="B66" s="12" t="s">
        <v>216</v>
      </c>
      <c r="C66" s="20"/>
      <c r="D66" s="20"/>
      <c r="E66" s="17" t="s">
        <v>58</v>
      </c>
      <c r="F66" s="17" t="s">
        <v>78</v>
      </c>
      <c r="G66" s="37">
        <v>45891</v>
      </c>
      <c r="H66" s="37">
        <v>45902</v>
      </c>
      <c r="I66" s="19"/>
      <c r="J66" s="20"/>
      <c r="K66" s="20"/>
      <c r="L66" s="20"/>
    </row>
    <row r="67" spans="1:12">
      <c r="A67" s="12">
        <v>59</v>
      </c>
      <c r="B67" s="12" t="s">
        <v>217</v>
      </c>
      <c r="C67" s="21"/>
      <c r="D67" s="41"/>
      <c r="E67" s="16">
        <v>1</v>
      </c>
      <c r="F67" s="17" t="s">
        <v>62</v>
      </c>
      <c r="G67" s="37">
        <v>45891</v>
      </c>
      <c r="H67" s="37">
        <v>45902</v>
      </c>
      <c r="I67" s="19"/>
      <c r="J67" s="20"/>
      <c r="K67" s="20"/>
      <c r="L67" s="20"/>
    </row>
    <row r="68" spans="1:12">
      <c r="A68" s="12">
        <v>60</v>
      </c>
      <c r="B68" s="12" t="s">
        <v>218</v>
      </c>
      <c r="C68" s="21"/>
      <c r="D68" s="41"/>
      <c r="E68" s="16">
        <v>2</v>
      </c>
      <c r="F68" s="17" t="s">
        <v>62</v>
      </c>
      <c r="G68" s="37">
        <v>45891</v>
      </c>
      <c r="H68" s="37">
        <v>45902</v>
      </c>
      <c r="I68" s="19"/>
      <c r="J68" s="20"/>
      <c r="K68" s="20"/>
      <c r="L68" s="20" t="s">
        <v>81</v>
      </c>
    </row>
    <row r="69" spans="1:12">
      <c r="A69" s="12">
        <v>61</v>
      </c>
      <c r="B69" s="12" t="s">
        <v>219</v>
      </c>
      <c r="C69" s="21"/>
      <c r="D69" s="41"/>
      <c r="E69" s="17">
        <v>1</v>
      </c>
      <c r="F69" s="17" t="s">
        <v>57</v>
      </c>
      <c r="G69" s="37">
        <v>45889</v>
      </c>
      <c r="H69" s="37">
        <v>45902</v>
      </c>
      <c r="I69" s="19"/>
      <c r="J69" s="20"/>
      <c r="K69" s="20"/>
      <c r="L69" s="20"/>
    </row>
    <row r="70" spans="1:12">
      <c r="A70" s="12">
        <v>62</v>
      </c>
      <c r="B70" s="12" t="s">
        <v>220</v>
      </c>
      <c r="C70" s="20"/>
      <c r="D70" s="41"/>
      <c r="E70" s="42">
        <v>1</v>
      </c>
      <c r="F70" s="42" t="s">
        <v>57</v>
      </c>
      <c r="G70" s="37">
        <v>45891</v>
      </c>
      <c r="H70" s="37">
        <v>45902</v>
      </c>
      <c r="I70" s="19"/>
      <c r="J70" s="20"/>
      <c r="K70" s="20"/>
      <c r="L70" s="20"/>
    </row>
    <row r="71" spans="1:12">
      <c r="A71" s="12">
        <v>63</v>
      </c>
      <c r="B71" s="12" t="s">
        <v>221</v>
      </c>
      <c r="C71" s="20"/>
      <c r="D71" s="20"/>
      <c r="E71" s="42" t="s">
        <v>87</v>
      </c>
      <c r="F71" s="42" t="s">
        <v>57</v>
      </c>
      <c r="G71" s="37">
        <v>45891</v>
      </c>
      <c r="H71" s="37">
        <v>45902</v>
      </c>
      <c r="I71" s="19"/>
      <c r="J71" s="20"/>
      <c r="K71" s="20"/>
      <c r="L71" s="20"/>
    </row>
    <row r="72" spans="1:12">
      <c r="A72" s="12">
        <v>64</v>
      </c>
      <c r="B72" s="12" t="s">
        <v>222</v>
      </c>
      <c r="C72" s="21"/>
      <c r="D72" s="41"/>
      <c r="E72" s="16">
        <v>3</v>
      </c>
      <c r="F72" s="17" t="s">
        <v>57</v>
      </c>
      <c r="G72" s="37">
        <v>45891</v>
      </c>
      <c r="H72" s="37">
        <v>45902</v>
      </c>
      <c r="I72" s="19"/>
      <c r="J72" s="20"/>
      <c r="K72" s="20"/>
      <c r="L72" s="20"/>
    </row>
    <row r="73" spans="1:12">
      <c r="A73" s="12">
        <v>65</v>
      </c>
      <c r="B73" s="12" t="s">
        <v>223</v>
      </c>
      <c r="C73" s="21"/>
      <c r="D73" s="41"/>
      <c r="E73" s="16">
        <v>1</v>
      </c>
      <c r="F73" s="17" t="s">
        <v>57</v>
      </c>
      <c r="G73" s="37">
        <v>45891</v>
      </c>
      <c r="H73" s="37">
        <v>45902</v>
      </c>
      <c r="I73" s="19"/>
      <c r="J73" s="20"/>
      <c r="K73" s="20"/>
      <c r="L73" s="20"/>
    </row>
    <row r="74" spans="1:12">
      <c r="A74" s="12">
        <v>66</v>
      </c>
      <c r="B74" s="12" t="s">
        <v>224</v>
      </c>
      <c r="C74" s="21"/>
      <c r="D74" s="17"/>
      <c r="E74" s="17">
        <v>1</v>
      </c>
      <c r="F74" s="17" t="s">
        <v>57</v>
      </c>
      <c r="G74" s="37">
        <v>45889</v>
      </c>
      <c r="H74" s="37">
        <v>45902</v>
      </c>
      <c r="I74" s="19"/>
      <c r="J74" s="20"/>
      <c r="K74" s="20"/>
      <c r="L74" s="20"/>
    </row>
    <row r="75" spans="1:12">
      <c r="A75" s="12">
        <v>67</v>
      </c>
      <c r="B75" s="12" t="s">
        <v>225</v>
      </c>
      <c r="C75" s="20"/>
      <c r="D75" s="20"/>
      <c r="E75" s="42">
        <v>2</v>
      </c>
      <c r="F75" s="42" t="s">
        <v>83</v>
      </c>
      <c r="G75" s="37">
        <v>45891</v>
      </c>
      <c r="H75" s="37">
        <v>45902</v>
      </c>
      <c r="I75" s="19"/>
      <c r="J75" s="20"/>
      <c r="K75" s="20"/>
      <c r="L75" s="20"/>
    </row>
    <row r="76" spans="1:12">
      <c r="A76" s="12">
        <v>68</v>
      </c>
      <c r="B76" s="12" t="s">
        <v>226</v>
      </c>
      <c r="C76" s="20"/>
      <c r="D76" s="41"/>
      <c r="E76" s="42">
        <v>1</v>
      </c>
      <c r="F76" s="42" t="s">
        <v>57</v>
      </c>
      <c r="G76" s="37">
        <v>45891</v>
      </c>
      <c r="H76" s="37">
        <v>45902</v>
      </c>
      <c r="I76" s="19"/>
      <c r="J76" s="20"/>
      <c r="K76" s="20"/>
      <c r="L76" s="20"/>
    </row>
    <row r="77" spans="1:12">
      <c r="A77" s="12">
        <v>69</v>
      </c>
      <c r="B77" s="12" t="s">
        <v>227</v>
      </c>
      <c r="C77" s="20"/>
      <c r="D77" s="20"/>
      <c r="E77" s="42">
        <v>1</v>
      </c>
      <c r="F77" s="20" t="s">
        <v>88</v>
      </c>
      <c r="G77" s="37">
        <v>45891</v>
      </c>
      <c r="H77" s="37">
        <v>45902</v>
      </c>
      <c r="I77" s="19"/>
      <c r="J77" s="20"/>
      <c r="K77" s="20"/>
      <c r="L77" s="20"/>
    </row>
    <row r="78" spans="1:12">
      <c r="A78" s="12">
        <v>70</v>
      </c>
      <c r="B78" s="12" t="s">
        <v>228</v>
      </c>
      <c r="C78" s="20"/>
      <c r="D78" s="41"/>
      <c r="E78" s="17">
        <v>1</v>
      </c>
      <c r="F78" s="17" t="s">
        <v>56</v>
      </c>
      <c r="G78" s="37">
        <v>45889</v>
      </c>
      <c r="H78" s="37">
        <v>45902</v>
      </c>
      <c r="I78" s="19"/>
      <c r="J78" s="20"/>
      <c r="K78" s="20"/>
      <c r="L78" s="20"/>
    </row>
    <row r="79" spans="1:12">
      <c r="A79" s="12">
        <v>71</v>
      </c>
      <c r="B79" s="12" t="s">
        <v>229</v>
      </c>
      <c r="C79" s="20"/>
      <c r="D79" s="41"/>
      <c r="E79" s="42">
        <v>1</v>
      </c>
      <c r="F79" s="42" t="s">
        <v>57</v>
      </c>
      <c r="G79" s="37">
        <v>45891</v>
      </c>
      <c r="H79" s="37">
        <v>45902</v>
      </c>
      <c r="I79" s="19"/>
      <c r="J79" s="20"/>
      <c r="K79" s="20" t="s">
        <v>81</v>
      </c>
      <c r="L79" s="20"/>
    </row>
    <row r="80" spans="1:12">
      <c r="A80" s="12">
        <v>72</v>
      </c>
      <c r="B80" s="12" t="s">
        <v>230</v>
      </c>
      <c r="C80" s="20"/>
      <c r="D80" s="41"/>
      <c r="E80" s="42">
        <v>2</v>
      </c>
      <c r="F80" s="42" t="s">
        <v>84</v>
      </c>
      <c r="G80" s="37">
        <v>45891</v>
      </c>
      <c r="H80" s="37">
        <v>45902</v>
      </c>
      <c r="I80" s="19"/>
      <c r="J80" s="20"/>
      <c r="K80" s="20"/>
      <c r="L80" s="20"/>
    </row>
    <row r="81" spans="1:12">
      <c r="A81" s="12">
        <v>73</v>
      </c>
      <c r="B81" s="12" t="s">
        <v>231</v>
      </c>
      <c r="C81" s="20"/>
      <c r="D81" s="41"/>
      <c r="E81" s="42">
        <v>1</v>
      </c>
      <c r="F81" s="42" t="s">
        <v>56</v>
      </c>
      <c r="G81" s="37">
        <v>45891</v>
      </c>
      <c r="H81" s="37">
        <v>45902</v>
      </c>
      <c r="I81" s="19"/>
      <c r="J81" s="20"/>
      <c r="K81" s="20"/>
      <c r="L81" s="20"/>
    </row>
    <row r="82" spans="1:12">
      <c r="A82" s="12">
        <v>74</v>
      </c>
      <c r="B82" s="12" t="s">
        <v>232</v>
      </c>
      <c r="C82" s="21"/>
      <c r="D82" s="20"/>
      <c r="E82" s="17">
        <v>1</v>
      </c>
      <c r="F82" s="17" t="s">
        <v>56</v>
      </c>
      <c r="G82" s="37">
        <v>45889</v>
      </c>
      <c r="H82" s="37">
        <v>45902</v>
      </c>
      <c r="I82" s="19"/>
      <c r="J82" s="20"/>
      <c r="K82" s="20"/>
      <c r="L82" s="20"/>
    </row>
    <row r="83" spans="1:12">
      <c r="A83" s="12">
        <v>75</v>
      </c>
      <c r="B83" s="12" t="s">
        <v>233</v>
      </c>
      <c r="C83" s="21"/>
      <c r="D83" s="41"/>
      <c r="E83" s="17">
        <v>1</v>
      </c>
      <c r="F83" s="17" t="s">
        <v>62</v>
      </c>
      <c r="G83" s="37">
        <v>45889</v>
      </c>
      <c r="H83" s="37">
        <v>45902</v>
      </c>
      <c r="I83" s="19"/>
      <c r="J83" s="20"/>
      <c r="K83" s="20"/>
      <c r="L83" s="20"/>
    </row>
    <row r="84" spans="1:12">
      <c r="A84" s="12">
        <v>76</v>
      </c>
      <c r="B84" s="12" t="s">
        <v>234</v>
      </c>
      <c r="C84" s="21"/>
      <c r="D84" s="41"/>
      <c r="E84" s="17">
        <v>2</v>
      </c>
      <c r="F84" s="17" t="s">
        <v>62</v>
      </c>
      <c r="G84" s="37">
        <v>45889</v>
      </c>
      <c r="H84" s="37">
        <v>45902</v>
      </c>
      <c r="I84" s="19"/>
      <c r="J84" s="20"/>
      <c r="K84" s="20"/>
      <c r="L84" s="20"/>
    </row>
    <row r="85" spans="1:12">
      <c r="A85" s="12">
        <v>66</v>
      </c>
      <c r="B85" s="12" t="s">
        <v>235</v>
      </c>
      <c r="C85" s="20"/>
      <c r="D85" s="41"/>
      <c r="E85" s="42">
        <v>1</v>
      </c>
      <c r="F85" s="42" t="s">
        <v>57</v>
      </c>
      <c r="G85" s="37">
        <v>45891</v>
      </c>
      <c r="H85" s="37">
        <v>45902</v>
      </c>
      <c r="I85" s="19"/>
      <c r="J85" s="20"/>
      <c r="K85" s="20"/>
      <c r="L85" s="20"/>
    </row>
    <row r="86" spans="1:12">
      <c r="A86" s="12">
        <v>78</v>
      </c>
      <c r="B86" s="12" t="s">
        <v>236</v>
      </c>
      <c r="C86" s="20"/>
      <c r="D86" s="41"/>
      <c r="E86" s="17">
        <v>1</v>
      </c>
      <c r="F86" s="17" t="s">
        <v>57</v>
      </c>
      <c r="G86" s="37">
        <v>45889</v>
      </c>
      <c r="H86" s="37">
        <v>45902</v>
      </c>
      <c r="I86" s="19"/>
      <c r="J86" s="20"/>
      <c r="K86" s="20"/>
      <c r="L86" s="20"/>
    </row>
    <row r="87" spans="1:12">
      <c r="A87" s="12">
        <v>79</v>
      </c>
      <c r="B87" s="12" t="s">
        <v>237</v>
      </c>
      <c r="C87" s="20"/>
      <c r="D87" s="41"/>
      <c r="E87" s="17">
        <v>1</v>
      </c>
      <c r="F87" s="17" t="s">
        <v>56</v>
      </c>
      <c r="G87" s="37">
        <v>45889</v>
      </c>
      <c r="H87" s="37">
        <v>45902</v>
      </c>
      <c r="I87" s="19"/>
      <c r="J87" s="20"/>
      <c r="K87" s="20"/>
      <c r="L87" s="20"/>
    </row>
    <row r="88" spans="1:12">
      <c r="A88" s="12">
        <v>80</v>
      </c>
      <c r="B88" s="12" t="s">
        <v>238</v>
      </c>
      <c r="C88" s="21"/>
      <c r="D88" s="17"/>
      <c r="E88" s="16">
        <v>1</v>
      </c>
      <c r="F88" s="17" t="s">
        <v>49</v>
      </c>
      <c r="G88" s="37">
        <v>45891</v>
      </c>
      <c r="H88" s="37">
        <v>45902</v>
      </c>
      <c r="I88" s="19"/>
      <c r="J88" s="20"/>
      <c r="K88" s="20"/>
      <c r="L88" s="20"/>
    </row>
    <row r="89" spans="1:12">
      <c r="A89" s="12">
        <v>81</v>
      </c>
      <c r="B89" s="12" t="s">
        <v>239</v>
      </c>
      <c r="C89" s="20"/>
      <c r="D89" s="20"/>
      <c r="E89" s="17" t="s">
        <v>58</v>
      </c>
      <c r="F89" s="17" t="s">
        <v>82</v>
      </c>
      <c r="G89" s="37">
        <v>45891</v>
      </c>
      <c r="H89" s="37">
        <v>45902</v>
      </c>
      <c r="I89" s="19"/>
      <c r="J89" s="20"/>
      <c r="K89" s="20"/>
      <c r="L89" s="20"/>
    </row>
    <row r="90" spans="1:12">
      <c r="A90" s="12">
        <v>82</v>
      </c>
      <c r="B90" s="12" t="s">
        <v>240</v>
      </c>
      <c r="C90" s="21"/>
      <c r="D90" s="41"/>
      <c r="E90" s="16">
        <v>1</v>
      </c>
      <c r="F90" s="17" t="s">
        <v>49</v>
      </c>
      <c r="G90" s="37">
        <v>45891</v>
      </c>
      <c r="H90" s="37">
        <v>45902</v>
      </c>
      <c r="I90" s="19"/>
      <c r="J90" s="20"/>
      <c r="K90" s="20"/>
      <c r="L90" s="20"/>
    </row>
    <row r="91" spans="1:12">
      <c r="A91" s="12">
        <v>83</v>
      </c>
      <c r="B91" s="12" t="s">
        <v>241</v>
      </c>
      <c r="C91" s="20"/>
      <c r="D91" s="41"/>
      <c r="E91" s="17">
        <v>7</v>
      </c>
      <c r="F91" s="17" t="s">
        <v>57</v>
      </c>
      <c r="G91" s="37">
        <v>45889</v>
      </c>
      <c r="H91" s="37">
        <v>45902</v>
      </c>
      <c r="I91" s="19"/>
      <c r="J91" s="20"/>
      <c r="K91" s="20"/>
      <c r="L91" s="20"/>
    </row>
    <row r="92" spans="1:12">
      <c r="A92" s="12">
        <v>84</v>
      </c>
      <c r="B92" s="12" t="s">
        <v>242</v>
      </c>
      <c r="C92" s="20"/>
      <c r="D92" s="41"/>
      <c r="E92" s="17" t="s">
        <v>77</v>
      </c>
      <c r="F92" s="17" t="s">
        <v>57</v>
      </c>
      <c r="G92" s="37">
        <v>45889</v>
      </c>
      <c r="H92" s="37">
        <v>45902</v>
      </c>
      <c r="I92" s="19"/>
      <c r="J92" s="20"/>
      <c r="K92" s="20"/>
      <c r="L92" s="20"/>
    </row>
    <row r="93" spans="1:12">
      <c r="A93" s="12">
        <v>85</v>
      </c>
      <c r="B93" s="12" t="s">
        <v>243</v>
      </c>
      <c r="C93" s="20"/>
      <c r="D93" s="20"/>
      <c r="E93" s="17" t="s">
        <v>58</v>
      </c>
      <c r="F93" s="17" t="s">
        <v>82</v>
      </c>
      <c r="G93" s="37">
        <v>45891</v>
      </c>
      <c r="H93" s="37">
        <v>45902</v>
      </c>
      <c r="I93" s="19"/>
      <c r="J93" s="20"/>
      <c r="K93" s="20"/>
      <c r="L93" s="20"/>
    </row>
    <row r="94" spans="1:12">
      <c r="A94" s="12">
        <v>86</v>
      </c>
      <c r="B94" s="12" t="s">
        <v>244</v>
      </c>
      <c r="C94" s="21"/>
      <c r="D94" s="41"/>
      <c r="E94" s="16">
        <v>3</v>
      </c>
      <c r="F94" s="17" t="s">
        <v>57</v>
      </c>
      <c r="G94" s="37">
        <v>45891</v>
      </c>
      <c r="H94" s="37">
        <v>45902</v>
      </c>
      <c r="I94" s="19"/>
      <c r="J94" s="20"/>
      <c r="K94" s="20"/>
      <c r="L94" s="20"/>
    </row>
    <row r="95" spans="1:12">
      <c r="A95" s="12">
        <v>87</v>
      </c>
      <c r="B95" s="12" t="s">
        <v>245</v>
      </c>
      <c r="C95" s="20"/>
      <c r="D95" s="41"/>
      <c r="E95" s="17">
        <v>1</v>
      </c>
      <c r="F95" s="17" t="s">
        <v>56</v>
      </c>
      <c r="G95" s="37">
        <v>45889</v>
      </c>
      <c r="H95" s="37">
        <v>45902</v>
      </c>
      <c r="I95" s="19"/>
      <c r="J95" s="20"/>
      <c r="K95" s="20"/>
      <c r="L95" s="20"/>
    </row>
    <row r="96" spans="1:12">
      <c r="A96" s="12">
        <v>88</v>
      </c>
      <c r="B96" s="12" t="s">
        <v>246</v>
      </c>
      <c r="C96" s="14"/>
      <c r="D96" s="41"/>
      <c r="E96" s="16">
        <v>1</v>
      </c>
      <c r="F96" s="17" t="s">
        <v>57</v>
      </c>
      <c r="G96" s="37">
        <v>45891</v>
      </c>
      <c r="H96" s="37">
        <v>45902</v>
      </c>
      <c r="I96" s="19"/>
      <c r="J96" s="20"/>
      <c r="K96" s="20"/>
      <c r="L96" s="20"/>
    </row>
    <row r="97" spans="1:12">
      <c r="A97" s="12">
        <v>89</v>
      </c>
      <c r="B97" s="12" t="s">
        <v>247</v>
      </c>
      <c r="C97" s="20"/>
      <c r="D97" s="20"/>
      <c r="E97" s="42" t="s">
        <v>71</v>
      </c>
      <c r="F97" s="42" t="s">
        <v>78</v>
      </c>
      <c r="G97" s="37">
        <v>45891</v>
      </c>
      <c r="H97" s="37">
        <v>45902</v>
      </c>
      <c r="I97" s="19"/>
      <c r="J97" s="20"/>
      <c r="K97" s="20"/>
      <c r="L97" s="20"/>
    </row>
  </sheetData>
  <sortState ref="B9:K108">
    <sortCondition ref="B9"/>
  </sortState>
  <mergeCells count="4">
    <mergeCell ref="A1:L1"/>
    <mergeCell ref="A2:L2"/>
    <mergeCell ref="F3:H3"/>
    <mergeCell ref="C5:E5"/>
  </mergeCells>
  <phoneticPr fontId="9" type="noConversion"/>
  <dataValidations count="1">
    <dataValidation type="list" errorStyle="information" allowBlank="1" showInputMessage="1" showErrorMessage="1" errorTitle="Please Check Entry" error="It is recommended to pick a course from the list." sqref="C9:C97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/>
  </sheetPr>
  <dimension ref="A1:L258"/>
  <sheetViews>
    <sheetView zoomScale="98" zoomScaleNormal="45" workbookViewId="0">
      <selection activeCell="D35" sqref="D35"/>
    </sheetView>
  </sheetViews>
  <sheetFormatPr defaultRowHeight="13.8"/>
  <cols>
    <col min="1" max="1" width="4.09765625" customWidth="1"/>
    <col min="2" max="2" width="23.3984375" customWidth="1"/>
    <col min="3" max="3" width="9.3984375" customWidth="1"/>
    <col min="4" max="4" width="9.5" customWidth="1"/>
    <col min="5" max="5" width="7.8984375" customWidth="1"/>
    <col min="6" max="6" width="13.09765625" customWidth="1"/>
    <col min="7" max="7" width="10.19921875" customWidth="1"/>
    <col min="8" max="8" width="9.3984375" customWidth="1"/>
    <col min="9" max="9" width="10.09765625" customWidth="1"/>
    <col min="10" max="10" width="8.5" customWidth="1"/>
  </cols>
  <sheetData>
    <row r="1" spans="1:12" ht="22.2">
      <c r="A1" s="58">
        <v>45903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2">
      <c r="A2" s="59" t="s">
        <v>0</v>
      </c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63"/>
      <c r="L3" s="63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63"/>
      <c r="L4" s="63"/>
    </row>
    <row r="5" spans="1:12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63"/>
      <c r="L5" s="63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63"/>
      <c r="L6" s="63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63"/>
      <c r="L7" s="63"/>
    </row>
    <row r="8" spans="1:12" ht="55.2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55</v>
      </c>
      <c r="J8" s="36" t="s">
        <v>31</v>
      </c>
      <c r="K8" s="38" t="s">
        <v>32</v>
      </c>
      <c r="L8" s="36"/>
    </row>
    <row r="9" spans="1:12">
      <c r="A9" s="12">
        <v>1</v>
      </c>
      <c r="B9" s="20"/>
      <c r="C9" s="20"/>
      <c r="D9" s="20"/>
      <c r="E9" s="17"/>
      <c r="F9" s="17"/>
      <c r="G9" s="37"/>
      <c r="H9" s="37"/>
      <c r="I9" s="19"/>
      <c r="J9" s="20"/>
      <c r="K9" s="20"/>
      <c r="L9" s="20"/>
    </row>
    <row r="10" spans="1:12">
      <c r="A10" s="12">
        <v>2</v>
      </c>
      <c r="B10" s="20"/>
      <c r="C10" s="20"/>
      <c r="D10" s="20"/>
      <c r="E10" s="17"/>
      <c r="F10" s="17"/>
      <c r="G10" s="37"/>
      <c r="H10" s="37"/>
      <c r="I10" s="19"/>
      <c r="J10" s="22"/>
      <c r="K10" s="23"/>
      <c r="L10" s="23"/>
    </row>
    <row r="11" spans="1:12">
      <c r="A11" s="12">
        <v>3</v>
      </c>
      <c r="B11" s="20"/>
      <c r="C11" s="20"/>
      <c r="D11" s="17"/>
      <c r="E11" s="17"/>
      <c r="F11" s="17"/>
      <c r="G11" s="37"/>
      <c r="H11" s="37"/>
      <c r="I11" s="19"/>
      <c r="J11" s="20"/>
      <c r="K11" s="20"/>
      <c r="L11" s="20"/>
    </row>
    <row r="12" spans="1:12">
      <c r="A12" s="12">
        <v>4</v>
      </c>
      <c r="B12" s="20"/>
      <c r="C12" s="20"/>
      <c r="D12" s="17"/>
      <c r="E12" s="17"/>
      <c r="F12" s="17"/>
      <c r="G12" s="37"/>
      <c r="H12" s="37"/>
      <c r="I12" s="20"/>
      <c r="J12" s="20"/>
      <c r="K12" s="20"/>
      <c r="L12" s="20"/>
    </row>
    <row r="13" spans="1:12">
      <c r="A13" s="12">
        <v>5</v>
      </c>
      <c r="B13" s="20"/>
      <c r="C13" s="20"/>
      <c r="D13" s="17"/>
      <c r="E13" s="17"/>
      <c r="F13" s="17"/>
      <c r="G13" s="37"/>
      <c r="H13" s="37"/>
      <c r="I13" s="20"/>
      <c r="J13" s="22"/>
      <c r="K13" s="23"/>
      <c r="L13" s="23"/>
    </row>
    <row r="14" spans="1:12">
      <c r="A14" s="12">
        <v>6</v>
      </c>
      <c r="B14" s="20"/>
      <c r="C14" s="20"/>
      <c r="D14" s="20"/>
      <c r="E14" s="17"/>
      <c r="F14" s="17"/>
      <c r="G14" s="37"/>
      <c r="H14" s="37"/>
      <c r="I14" s="19"/>
      <c r="J14" s="22"/>
      <c r="K14" s="23"/>
      <c r="L14" s="23"/>
    </row>
    <row r="15" spans="1:12">
      <c r="A15" s="12">
        <v>7</v>
      </c>
      <c r="B15" s="20"/>
      <c r="C15" s="20"/>
      <c r="D15" s="20"/>
      <c r="E15" s="17"/>
      <c r="F15" s="17"/>
      <c r="G15" s="37"/>
      <c r="H15" s="37"/>
      <c r="I15" s="20"/>
      <c r="J15" s="20"/>
      <c r="K15" s="20"/>
      <c r="L15" s="20"/>
    </row>
    <row r="16" spans="1:12">
      <c r="A16" s="12">
        <v>8</v>
      </c>
      <c r="B16" s="20"/>
      <c r="C16" s="20"/>
      <c r="D16" s="20"/>
      <c r="E16" s="17"/>
      <c r="F16" s="17"/>
      <c r="G16" s="37"/>
      <c r="H16" s="37"/>
      <c r="I16" s="19"/>
      <c r="J16" s="22"/>
      <c r="K16" s="23"/>
      <c r="L16" s="23"/>
    </row>
    <row r="17" spans="1:12">
      <c r="A17" s="12">
        <v>9</v>
      </c>
      <c r="B17" s="20"/>
      <c r="C17" s="20"/>
      <c r="D17" s="17"/>
      <c r="E17" s="17"/>
      <c r="F17" s="17"/>
      <c r="G17" s="37"/>
      <c r="H17" s="37"/>
      <c r="I17" s="20"/>
      <c r="J17" s="22"/>
      <c r="K17" s="23"/>
      <c r="L17" s="23"/>
    </row>
    <row r="18" spans="1:12">
      <c r="A18" s="12">
        <v>10</v>
      </c>
      <c r="B18" s="20"/>
      <c r="C18" s="20"/>
      <c r="D18" s="17"/>
      <c r="E18" s="17"/>
      <c r="F18" s="17"/>
      <c r="G18" s="37"/>
      <c r="H18" s="37"/>
      <c r="I18" s="20"/>
      <c r="J18" s="20"/>
      <c r="K18" s="20"/>
      <c r="L18" s="20"/>
    </row>
    <row r="19" spans="1:12">
      <c r="A19" s="12">
        <v>11</v>
      </c>
      <c r="B19" s="20"/>
      <c r="C19" s="20"/>
      <c r="D19" s="17"/>
      <c r="E19" s="17"/>
      <c r="F19" s="17"/>
      <c r="G19" s="37"/>
      <c r="H19" s="37"/>
      <c r="I19" s="19"/>
      <c r="J19" s="22"/>
      <c r="K19" s="20"/>
      <c r="L19" s="20"/>
    </row>
    <row r="20" spans="1:12">
      <c r="A20" s="12">
        <v>12</v>
      </c>
      <c r="B20" s="20"/>
      <c r="C20" s="20"/>
      <c r="D20" s="20"/>
      <c r="E20" s="16"/>
      <c r="F20" s="17"/>
      <c r="G20" s="37"/>
      <c r="H20" s="37"/>
      <c r="I20" s="20"/>
      <c r="J20" s="22"/>
      <c r="K20" s="23"/>
      <c r="L20" s="23"/>
    </row>
    <row r="21" spans="1:12">
      <c r="A21" s="12">
        <v>13</v>
      </c>
      <c r="B21" s="20"/>
      <c r="C21" s="20"/>
      <c r="D21" s="20"/>
      <c r="E21" s="17"/>
      <c r="F21" s="17"/>
      <c r="G21" s="37"/>
      <c r="H21" s="37"/>
      <c r="I21" s="19"/>
      <c r="J21" s="22"/>
      <c r="K21" s="23"/>
      <c r="L21" s="23"/>
    </row>
    <row r="22" spans="1:12">
      <c r="A22" s="12">
        <v>14</v>
      </c>
      <c r="B22" s="20"/>
      <c r="C22" s="20"/>
      <c r="D22" s="17"/>
      <c r="E22" s="17"/>
      <c r="F22" s="17"/>
      <c r="G22" s="37"/>
      <c r="H22" s="37"/>
      <c r="I22" s="20"/>
      <c r="J22" s="20"/>
      <c r="K22" s="20"/>
      <c r="L22" s="20"/>
    </row>
    <row r="23" spans="1:12">
      <c r="A23" s="12">
        <v>15</v>
      </c>
      <c r="B23" s="20"/>
      <c r="C23" s="20"/>
      <c r="D23" s="20"/>
      <c r="E23" s="17"/>
      <c r="F23" s="17"/>
      <c r="G23" s="37"/>
      <c r="H23" s="37"/>
      <c r="I23" s="20"/>
      <c r="J23" s="20"/>
      <c r="K23" s="20"/>
      <c r="L23" s="20"/>
    </row>
    <row r="24" spans="1:12">
      <c r="A24" s="12">
        <v>16</v>
      </c>
      <c r="B24" s="20"/>
      <c r="C24" s="20"/>
      <c r="D24" s="20"/>
      <c r="E24" s="17"/>
      <c r="F24" s="17"/>
      <c r="G24" s="37"/>
      <c r="H24" s="37"/>
      <c r="I24" s="20"/>
      <c r="J24" s="22"/>
      <c r="K24" s="23"/>
      <c r="L24" s="23"/>
    </row>
    <row r="25" spans="1:12">
      <c r="A25" s="12">
        <v>17</v>
      </c>
      <c r="B25" s="20"/>
      <c r="C25" s="20"/>
      <c r="D25" s="20"/>
      <c r="E25" s="17"/>
      <c r="F25" s="17"/>
      <c r="G25" s="37"/>
      <c r="H25" s="37"/>
      <c r="I25" s="19"/>
      <c r="J25" s="22"/>
      <c r="K25" s="23"/>
      <c r="L25" s="23"/>
    </row>
    <row r="26" spans="1:12">
      <c r="A26" s="12">
        <v>18</v>
      </c>
      <c r="B26" s="20"/>
      <c r="C26" s="20"/>
      <c r="D26" s="20"/>
      <c r="E26" s="17"/>
      <c r="F26" s="17"/>
      <c r="G26" s="37"/>
      <c r="H26" s="37"/>
      <c r="I26" s="22"/>
      <c r="J26" s="22"/>
      <c r="K26" s="23"/>
      <c r="L26" s="23"/>
    </row>
    <row r="27" spans="1:12">
      <c r="A27" s="12">
        <v>19</v>
      </c>
      <c r="B27" s="20"/>
      <c r="C27" s="20"/>
      <c r="D27" s="20"/>
      <c r="E27" s="17"/>
      <c r="F27" s="17"/>
      <c r="G27" s="37"/>
      <c r="H27" s="37"/>
      <c r="I27" s="20"/>
      <c r="J27" s="20"/>
      <c r="K27" s="20"/>
      <c r="L27" s="20"/>
    </row>
    <row r="28" spans="1:12">
      <c r="A28" s="12">
        <v>20</v>
      </c>
      <c r="B28" s="20"/>
      <c r="C28" s="20"/>
      <c r="D28" s="20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20"/>
      <c r="E29" s="17"/>
      <c r="F29" s="17"/>
      <c r="G29" s="37"/>
      <c r="H29" s="37"/>
      <c r="I29" s="20"/>
      <c r="J29" s="22"/>
      <c r="K29" s="23"/>
      <c r="L29" s="23"/>
    </row>
    <row r="30" spans="1:12">
      <c r="A30" s="12">
        <v>22</v>
      </c>
      <c r="B30" s="20"/>
      <c r="C30" s="20"/>
      <c r="D30" s="20"/>
      <c r="E30" s="17"/>
      <c r="F30" s="17"/>
      <c r="G30" s="18"/>
      <c r="H30" s="37"/>
      <c r="I30" s="19"/>
      <c r="J30" s="20"/>
      <c r="K30" s="20"/>
      <c r="L30" s="20"/>
    </row>
    <row r="31" spans="1:12">
      <c r="A31" s="12">
        <v>23</v>
      </c>
      <c r="B31" s="12"/>
      <c r="C31" s="21"/>
      <c r="D31" s="17"/>
      <c r="E31" s="16"/>
      <c r="F31" s="17"/>
      <c r="H31" s="18"/>
      <c r="I31" s="20"/>
      <c r="J31" s="22"/>
      <c r="K31" s="23"/>
      <c r="L31" s="23"/>
    </row>
    <row r="32" spans="1:12">
      <c r="A32" s="12">
        <v>24</v>
      </c>
      <c r="B32" s="12"/>
      <c r="C32" s="21"/>
      <c r="D32" s="17"/>
      <c r="E32" s="16"/>
      <c r="F32" s="17"/>
      <c r="G32" s="18"/>
      <c r="H32" s="18"/>
      <c r="I32" s="20" t="s">
        <v>110</v>
      </c>
      <c r="J32" s="20"/>
      <c r="K32" s="20"/>
      <c r="L32" s="20"/>
    </row>
    <row r="33" spans="1:12">
      <c r="A33" s="12">
        <v>25</v>
      </c>
      <c r="B33" s="12"/>
      <c r="C33" s="21"/>
      <c r="D33" s="17"/>
      <c r="E33" s="16"/>
      <c r="F33" s="17"/>
      <c r="G33" s="18"/>
      <c r="H33" s="18"/>
      <c r="I33" s="20"/>
      <c r="J33" s="20"/>
      <c r="K33" s="20"/>
      <c r="L33" s="20"/>
    </row>
    <row r="34" spans="1:12">
      <c r="A34" s="12">
        <v>26</v>
      </c>
      <c r="B34" s="12"/>
      <c r="C34" s="14"/>
      <c r="D34" s="15"/>
      <c r="E34" s="16"/>
      <c r="F34" s="17"/>
      <c r="G34" s="18"/>
      <c r="H34" s="18"/>
      <c r="I34" s="20"/>
      <c r="J34" s="20"/>
      <c r="K34" s="20"/>
      <c r="L34" s="20"/>
    </row>
    <row r="35" spans="1:12">
      <c r="A35" s="12">
        <v>27</v>
      </c>
      <c r="B35" s="12"/>
      <c r="C35" s="14"/>
      <c r="D35" s="17"/>
      <c r="E35" s="16"/>
      <c r="F35" s="17"/>
      <c r="G35" s="18"/>
      <c r="H35" s="18"/>
      <c r="I35" s="20"/>
      <c r="J35" s="20"/>
      <c r="K35" s="20"/>
      <c r="L35" s="20"/>
    </row>
    <row r="36" spans="1:12">
      <c r="A36" s="12">
        <v>28</v>
      </c>
      <c r="B36" s="12"/>
      <c r="C36" s="21"/>
      <c r="D36" s="17"/>
      <c r="E36" s="16"/>
      <c r="F36" s="17"/>
      <c r="G36" s="18"/>
      <c r="H36" s="18"/>
      <c r="I36" s="20"/>
      <c r="J36" s="20"/>
      <c r="K36" s="20"/>
      <c r="L36" s="20"/>
    </row>
    <row r="37" spans="1:12">
      <c r="A37" s="12">
        <v>29</v>
      </c>
      <c r="B37" s="12"/>
      <c r="C37" s="21"/>
      <c r="D37" s="17"/>
      <c r="E37" s="16"/>
      <c r="F37" s="17"/>
      <c r="G37" s="18"/>
      <c r="H37" s="18"/>
      <c r="I37" s="20"/>
      <c r="J37" s="20"/>
      <c r="K37" s="20"/>
      <c r="L37" s="20"/>
    </row>
    <row r="38" spans="1:12">
      <c r="A38" s="12">
        <v>30</v>
      </c>
      <c r="B38" s="12"/>
      <c r="C38" s="21"/>
      <c r="D38" s="17"/>
      <c r="E38" s="21"/>
      <c r="F38" s="16"/>
      <c r="G38" s="18"/>
      <c r="H38" s="18"/>
      <c r="I38" s="20"/>
      <c r="J38" s="20"/>
      <c r="K38" s="20"/>
      <c r="L38" s="20"/>
    </row>
    <row r="39" spans="1:12">
      <c r="A39" s="12">
        <v>31</v>
      </c>
      <c r="B39" s="12"/>
      <c r="C39" s="21"/>
      <c r="D39" s="17"/>
      <c r="E39" s="16"/>
      <c r="F39" s="17"/>
      <c r="G39" s="18"/>
      <c r="H39" s="18"/>
      <c r="I39" s="20"/>
      <c r="J39" s="20"/>
      <c r="K39" s="20"/>
      <c r="L39" s="20"/>
    </row>
    <row r="40" spans="1:12">
      <c r="A40" s="12">
        <v>32</v>
      </c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</row>
    <row r="41" spans="1:12">
      <c r="A41" s="12">
        <v>33</v>
      </c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</row>
    <row r="42" spans="1:12">
      <c r="A42" s="12">
        <v>34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</row>
    <row r="43" spans="1:12">
      <c r="A43" s="12">
        <v>35</v>
      </c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</row>
    <row r="44" spans="1:12">
      <c r="A44" s="12">
        <v>36</v>
      </c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</row>
    <row r="45" spans="1:12">
      <c r="A45" s="12">
        <v>37</v>
      </c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</row>
    <row r="46" spans="1:12">
      <c r="A46" s="12">
        <v>38</v>
      </c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</row>
    <row r="47" spans="1:12">
      <c r="A47" s="12">
        <v>39</v>
      </c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</row>
    <row r="48" spans="1:12">
      <c r="A48" s="12">
        <v>40</v>
      </c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>
      <c r="B124" s="24" t="s">
        <v>1</v>
      </c>
      <c r="C124" s="25" cm="1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 cm="1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 cm="1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 cm="1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 cm="1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 cm="1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 cm="1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 cm="1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 cm="1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 cm="1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 cm="1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 cm="1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 cm="1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 cm="1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 cm="1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 cm="1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 cm="1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 cm="1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7" cm="1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7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>
      <c r="B135" s="24" t="s">
        <v>2</v>
      </c>
      <c r="C135" s="25" cm="1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 cm="1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7" cm="1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 cm="1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 cm="1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 cm="1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 cm="1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 cm="1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 cm="1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 cm="1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 cm="1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 cm="1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 cm="1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 cm="1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 cm="1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 cm="1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 cm="1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 cm="1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7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>
      <c r="B146" s="30" t="s">
        <v>3</v>
      </c>
      <c r="C146" s="25" cm="1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 cm="1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 cm="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 cm="1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 cm="1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 cm="1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 cm="1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 cm="1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 cm="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 cm="1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 cm="1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 cm="1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 cm="1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 cm="1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 cm="1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 cm="1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 cm="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 cm="1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>
      <c r="B157" s="28" t="s">
        <v>42</v>
      </c>
      <c r="C157" s="32" cm="1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 cm="1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 cm="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 cm="1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 cm="1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 cm="1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 cm="1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 cm="1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 cm="1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 cm="1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 cm="1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 cm="1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 cm="1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 cm="1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 cm="1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 cm="1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 cm="1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 cm="1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>
      <c r="B168" s="28" t="s">
        <v>12</v>
      </c>
      <c r="C168" s="25" cm="1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 cm="1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 cm="1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 cm="1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 cm="1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 cm="1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 cm="1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 cm="1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 cm="1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 cm="1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 cm="1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 cm="1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 cm="1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 cm="1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 cm="1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 cm="1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 cm="1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 cm="1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>
      <c r="B179" s="26" t="s">
        <v>43</v>
      </c>
      <c r="C179" s="25" cm="1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 cm="1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 cm="1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 cm="1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 cm="1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 cm="1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 cm="1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 cm="1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 cm="1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 cm="1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 cm="1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 cm="1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 cm="1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 cm="1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 cm="1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 cm="1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 cm="1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 cm="1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>
      <c r="B190" s="28" t="s">
        <v>20</v>
      </c>
      <c r="C190" s="25" cm="1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 cm="1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 cm="1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 cm="1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 cm="1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 cm="1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 cm="1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 cm="1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 cm="1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 cm="1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 cm="1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 cm="1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 cm="1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 cm="1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 cm="1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 cm="1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 cm="1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 cm="1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>
      <c r="B201" s="26" t="s">
        <v>44</v>
      </c>
      <c r="C201" s="25" cm="1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 cm="1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 cm="1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 cm="1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 cm="1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 cm="1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 cm="1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 cm="1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 cm="1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 cm="1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 cm="1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 cm="1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 cm="1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 cm="1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 cm="1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 cm="1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 cm="1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 cm="1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>
      <c r="B212" s="26" t="s">
        <v>13</v>
      </c>
      <c r="C212" s="25" cm="1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 cm="1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 cm="1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 cm="1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 cm="1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 cm="1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 cm="1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 cm="1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 cm="1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 cm="1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 cm="1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 cm="1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 cm="1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 cm="1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 cm="1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 cm="1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 cm="1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 cm="1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>
      <c r="B223" s="26" t="s">
        <v>46</v>
      </c>
      <c r="C223" s="25" cm="1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 cm="1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 cm="1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 cm="1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 cm="1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 cm="1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 cm="1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 cm="1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 cm="1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 cm="1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 cm="1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 cm="1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 cm="1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 cm="1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 cm="1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 cm="1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 cm="1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 cm="1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>
      <c r="B234" s="28" t="s">
        <v>47</v>
      </c>
      <c r="C234" s="25" cm="1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 cm="1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 cm="1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 cm="1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 cm="1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 cm="1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 cm="1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 cm="1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 cm="1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50</v>
      </c>
      <c r="C246" s="20" t="s">
        <v>51</v>
      </c>
      <c r="D246" s="20" t="s">
        <v>52</v>
      </c>
      <c r="E246" s="20" t="s">
        <v>53</v>
      </c>
      <c r="F246" s="20" t="s">
        <v>54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sortState ref="B9:H29">
    <sortCondition ref="B9"/>
  </sortState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100">
      <formula1>#REF!</formula1>
    </dataValidation>
  </dataValidations>
  <pageMargins left="0.7" right="0.7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2"/>
  <sheetViews>
    <sheetView zoomScale="98" zoomScaleNormal="45" workbookViewId="0">
      <selection activeCell="H17" sqref="H17"/>
    </sheetView>
  </sheetViews>
  <sheetFormatPr defaultRowHeight="13.8"/>
  <cols>
    <col min="1" max="1" width="4.09765625" customWidth="1"/>
    <col min="2" max="2" width="23.3984375" customWidth="1"/>
    <col min="3" max="3" width="10" customWidth="1"/>
    <col min="4" max="4" width="8.09765625" customWidth="1"/>
    <col min="5" max="5" width="7.69921875" customWidth="1"/>
    <col min="6" max="7" width="14.09765625" customWidth="1"/>
    <col min="8" max="8" width="10.59765625" customWidth="1"/>
    <col min="9" max="9" width="8.09765625" customWidth="1"/>
  </cols>
  <sheetData>
    <row r="1" spans="1:12" ht="22.2">
      <c r="A1" s="58">
        <v>45904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2">
      <c r="A2" s="59"/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63"/>
      <c r="L3" s="63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63"/>
      <c r="L4" s="63"/>
    </row>
    <row r="5" spans="1:12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63"/>
      <c r="L5" s="63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63"/>
      <c r="L6" s="63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63"/>
      <c r="L7" s="63"/>
    </row>
    <row r="8" spans="1:12" ht="55.2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2">
      <c r="A9" s="12">
        <v>1</v>
      </c>
      <c r="B9" s="20" t="s">
        <v>159</v>
      </c>
      <c r="C9" s="20"/>
      <c r="D9" s="17"/>
      <c r="E9" s="16" t="s">
        <v>58</v>
      </c>
      <c r="F9" s="17" t="s">
        <v>62</v>
      </c>
      <c r="G9" s="18">
        <v>45901</v>
      </c>
      <c r="H9" s="37">
        <v>45904</v>
      </c>
      <c r="I9" s="19"/>
      <c r="J9" s="20"/>
      <c r="K9" s="20"/>
      <c r="L9" s="20"/>
    </row>
    <row r="10" spans="1:12">
      <c r="A10" s="12">
        <v>2</v>
      </c>
      <c r="B10" s="20" t="s">
        <v>160</v>
      </c>
      <c r="C10" s="20"/>
      <c r="D10" s="17"/>
      <c r="E10" s="17">
        <v>1</v>
      </c>
      <c r="F10" s="17" t="s">
        <v>56</v>
      </c>
      <c r="G10" s="18">
        <v>45896</v>
      </c>
      <c r="H10" s="37">
        <v>45904</v>
      </c>
      <c r="I10" s="19"/>
      <c r="J10" s="22"/>
      <c r="K10" s="23"/>
      <c r="L10" s="23"/>
    </row>
    <row r="11" spans="1:12">
      <c r="A11" s="12">
        <v>3</v>
      </c>
      <c r="B11" s="20" t="s">
        <v>161</v>
      </c>
      <c r="C11" s="20"/>
      <c r="D11" s="17"/>
      <c r="E11" s="17" t="s">
        <v>90</v>
      </c>
      <c r="F11" s="17" t="s">
        <v>59</v>
      </c>
      <c r="G11" s="18">
        <v>45901</v>
      </c>
      <c r="H11" s="37">
        <v>45904</v>
      </c>
      <c r="I11" s="19"/>
      <c r="J11" s="20"/>
      <c r="K11" s="20"/>
      <c r="L11" s="20"/>
    </row>
    <row r="12" spans="1:12">
      <c r="A12" s="12">
        <v>4</v>
      </c>
      <c r="B12" s="20" t="s">
        <v>162</v>
      </c>
      <c r="C12" s="20"/>
      <c r="D12" s="17"/>
      <c r="E12" s="17" t="s">
        <v>104</v>
      </c>
      <c r="F12" s="17" t="s">
        <v>59</v>
      </c>
      <c r="G12" s="18">
        <v>45901</v>
      </c>
      <c r="H12" s="37">
        <v>45904</v>
      </c>
      <c r="I12" s="19"/>
      <c r="J12" s="20"/>
      <c r="K12" s="20"/>
      <c r="L12" s="20"/>
    </row>
    <row r="13" spans="1:12">
      <c r="A13" s="12">
        <v>5</v>
      </c>
      <c r="B13" s="20" t="s">
        <v>163</v>
      </c>
      <c r="C13" s="21"/>
      <c r="D13" s="17"/>
      <c r="E13" s="16" t="s">
        <v>58</v>
      </c>
      <c r="F13" s="17" t="s">
        <v>62</v>
      </c>
      <c r="G13" s="18">
        <v>45896</v>
      </c>
      <c r="H13" s="37">
        <v>45904</v>
      </c>
      <c r="I13" s="19"/>
      <c r="J13" s="22"/>
      <c r="K13" s="23"/>
      <c r="L13" s="23"/>
    </row>
    <row r="14" spans="1:12">
      <c r="A14" s="12">
        <v>6</v>
      </c>
      <c r="B14" s="20" t="s">
        <v>164</v>
      </c>
      <c r="C14" s="20"/>
      <c r="D14" s="17"/>
      <c r="E14" s="17" t="s">
        <v>58</v>
      </c>
      <c r="F14" s="17" t="s">
        <v>62</v>
      </c>
      <c r="G14" s="18">
        <v>45901</v>
      </c>
      <c r="H14" s="37">
        <v>45904</v>
      </c>
      <c r="I14" s="19"/>
      <c r="J14" s="22"/>
      <c r="K14" s="23"/>
      <c r="L14" s="23"/>
    </row>
    <row r="15" spans="1:12">
      <c r="A15" s="12">
        <v>7</v>
      </c>
      <c r="B15" s="20" t="s">
        <v>165</v>
      </c>
      <c r="C15" s="20"/>
      <c r="D15" s="17"/>
      <c r="E15" s="17" t="s">
        <v>103</v>
      </c>
      <c r="F15" s="17" t="s">
        <v>57</v>
      </c>
      <c r="G15" s="18">
        <v>45901</v>
      </c>
      <c r="H15" s="37">
        <v>45904</v>
      </c>
      <c r="I15" s="19"/>
      <c r="J15" s="20"/>
      <c r="K15" s="20"/>
      <c r="L15" s="20"/>
    </row>
    <row r="16" spans="1:12">
      <c r="A16" s="12">
        <v>8</v>
      </c>
      <c r="B16" s="20" t="s">
        <v>166</v>
      </c>
      <c r="C16" s="21"/>
      <c r="D16" s="17"/>
      <c r="E16" s="16">
        <v>1</v>
      </c>
      <c r="F16" s="17" t="s">
        <v>93</v>
      </c>
      <c r="G16" s="18">
        <v>45896</v>
      </c>
      <c r="H16" s="37">
        <v>45904</v>
      </c>
      <c r="I16" s="19"/>
      <c r="J16" s="22"/>
      <c r="K16" s="23"/>
      <c r="L16" s="23"/>
    </row>
    <row r="17" spans="1:12">
      <c r="A17" s="12">
        <v>9</v>
      </c>
      <c r="B17" s="20" t="s">
        <v>167</v>
      </c>
      <c r="C17" s="20"/>
      <c r="D17" s="17"/>
      <c r="E17" s="17">
        <v>1</v>
      </c>
      <c r="F17" s="17" t="s">
        <v>56</v>
      </c>
      <c r="G17" s="18">
        <v>45896</v>
      </c>
      <c r="H17" s="37">
        <v>45904</v>
      </c>
      <c r="I17" s="19"/>
      <c r="J17" s="22"/>
      <c r="K17" s="23"/>
      <c r="L17" s="23"/>
    </row>
    <row r="18" spans="1:12">
      <c r="A18" s="12">
        <v>10</v>
      </c>
      <c r="B18" s="20" t="s">
        <v>168</v>
      </c>
      <c r="C18" s="20"/>
      <c r="D18" s="17"/>
      <c r="E18" s="17">
        <v>1</v>
      </c>
      <c r="F18" s="17" t="s">
        <v>56</v>
      </c>
      <c r="G18" s="18">
        <v>45896</v>
      </c>
      <c r="H18" s="37">
        <v>45904</v>
      </c>
      <c r="I18" s="19"/>
      <c r="J18" s="20"/>
      <c r="K18" s="20"/>
      <c r="L18" s="20"/>
    </row>
    <row r="19" spans="1:12">
      <c r="A19" s="12">
        <v>11</v>
      </c>
      <c r="B19" s="20" t="s">
        <v>169</v>
      </c>
      <c r="C19" s="20"/>
      <c r="D19" s="17"/>
      <c r="E19" s="48">
        <v>1</v>
      </c>
      <c r="F19" s="48" t="s">
        <v>62</v>
      </c>
      <c r="G19" s="18">
        <v>45896</v>
      </c>
      <c r="H19" s="37">
        <v>45904</v>
      </c>
      <c r="I19" s="19"/>
      <c r="J19" s="22"/>
      <c r="K19" s="20"/>
      <c r="L19" s="20"/>
    </row>
    <row r="20" spans="1:12">
      <c r="A20" s="12">
        <v>12</v>
      </c>
      <c r="B20" s="20" t="s">
        <v>170</v>
      </c>
      <c r="C20" s="20"/>
      <c r="D20" s="17"/>
      <c r="E20" s="48">
        <v>1</v>
      </c>
      <c r="F20" s="48" t="s">
        <v>62</v>
      </c>
      <c r="G20" s="18">
        <v>45901</v>
      </c>
      <c r="H20" s="37">
        <v>45904</v>
      </c>
      <c r="I20" s="19"/>
      <c r="J20" s="22"/>
      <c r="K20" s="23"/>
      <c r="L20" s="23"/>
    </row>
    <row r="21" spans="1:12">
      <c r="A21" s="12">
        <v>13</v>
      </c>
      <c r="B21" s="20" t="s">
        <v>171</v>
      </c>
      <c r="C21" s="20"/>
      <c r="D21" s="17"/>
      <c r="E21" s="17" t="s">
        <v>90</v>
      </c>
      <c r="F21" s="17" t="s">
        <v>59</v>
      </c>
      <c r="G21" s="18">
        <v>45896</v>
      </c>
      <c r="H21" s="37">
        <v>45904</v>
      </c>
      <c r="I21" s="19"/>
      <c r="J21" s="22"/>
      <c r="K21" s="23"/>
      <c r="L21" s="23"/>
    </row>
    <row r="22" spans="1:12">
      <c r="A22" s="12">
        <v>14</v>
      </c>
      <c r="B22" s="20" t="s">
        <v>172</v>
      </c>
      <c r="C22" s="20"/>
      <c r="D22" s="17"/>
      <c r="E22" s="17" t="s">
        <v>90</v>
      </c>
      <c r="F22" s="17" t="s">
        <v>59</v>
      </c>
      <c r="G22" s="18">
        <v>45901</v>
      </c>
      <c r="H22" s="37">
        <v>45904</v>
      </c>
      <c r="I22" s="19"/>
      <c r="J22" s="20"/>
      <c r="K22" s="20"/>
      <c r="L22" s="20"/>
    </row>
  </sheetData>
  <sortState ref="B9:I28">
    <sortCondition ref="B9"/>
  </sortState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22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47"/>
  <sheetViews>
    <sheetView tabSelected="1" topLeftCell="A38" zoomScale="98" zoomScaleNormal="45" workbookViewId="0">
      <selection activeCell="I58" sqref="I58"/>
    </sheetView>
  </sheetViews>
  <sheetFormatPr defaultRowHeight="13.8"/>
  <cols>
    <col min="1" max="1" width="4.09765625" customWidth="1"/>
    <col min="2" max="2" width="23.3984375" customWidth="1"/>
    <col min="3" max="3" width="10" customWidth="1"/>
    <col min="4" max="4" width="8.09765625" customWidth="1"/>
    <col min="5" max="5" width="7.69921875" customWidth="1"/>
    <col min="6" max="7" width="14.09765625" customWidth="1"/>
    <col min="8" max="8" width="10.59765625" customWidth="1"/>
    <col min="9" max="9" width="8.09765625" customWidth="1"/>
  </cols>
  <sheetData>
    <row r="1" spans="1:12" ht="22.2">
      <c r="A1" s="58">
        <v>45905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2">
      <c r="A2" s="59"/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63"/>
      <c r="L3" s="63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63"/>
      <c r="L4" s="63"/>
    </row>
    <row r="5" spans="1:12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63"/>
      <c r="L5" s="63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63"/>
      <c r="L6" s="63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63"/>
      <c r="L7" s="63"/>
    </row>
    <row r="8" spans="1:12" ht="55.2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2">
      <c r="A9" s="12">
        <v>1</v>
      </c>
      <c r="B9" s="12" t="s">
        <v>159</v>
      </c>
      <c r="C9" s="14"/>
      <c r="D9" s="17"/>
      <c r="E9" s="16">
        <v>1</v>
      </c>
      <c r="F9" s="17" t="s">
        <v>62</v>
      </c>
      <c r="G9" s="18">
        <v>45898</v>
      </c>
      <c r="H9" s="37">
        <v>45905</v>
      </c>
      <c r="I9" s="19"/>
      <c r="J9" s="20"/>
      <c r="K9" s="20"/>
      <c r="L9" s="20"/>
    </row>
    <row r="10" spans="1:12">
      <c r="A10" s="12">
        <v>2</v>
      </c>
      <c r="B10" s="12" t="s">
        <v>160</v>
      </c>
      <c r="C10" s="20"/>
      <c r="D10" s="17"/>
      <c r="E10" s="17">
        <v>1</v>
      </c>
      <c r="F10" s="17" t="s">
        <v>62</v>
      </c>
      <c r="G10" s="18">
        <v>45898</v>
      </c>
      <c r="H10" s="37">
        <v>45905</v>
      </c>
      <c r="I10" s="19"/>
      <c r="J10" s="22"/>
      <c r="K10" s="23"/>
      <c r="L10" s="23"/>
    </row>
    <row r="11" spans="1:12">
      <c r="A11" s="12">
        <v>3</v>
      </c>
      <c r="B11" s="12" t="s">
        <v>161</v>
      </c>
      <c r="C11" s="20"/>
      <c r="D11" s="17"/>
      <c r="E11" s="17">
        <v>1</v>
      </c>
      <c r="F11" s="17" t="s">
        <v>93</v>
      </c>
      <c r="G11" s="18">
        <v>45898</v>
      </c>
      <c r="H11" s="37">
        <v>45905</v>
      </c>
      <c r="I11" s="19"/>
      <c r="J11" s="20"/>
      <c r="K11" s="20"/>
      <c r="L11" s="20"/>
    </row>
    <row r="12" spans="1:12">
      <c r="A12" s="12">
        <v>4</v>
      </c>
      <c r="B12" s="12" t="s">
        <v>162</v>
      </c>
      <c r="C12" s="20"/>
      <c r="D12" s="17"/>
      <c r="E12" s="17">
        <v>2</v>
      </c>
      <c r="F12" s="17" t="s">
        <v>62</v>
      </c>
      <c r="G12" s="18">
        <v>45898</v>
      </c>
      <c r="H12" s="37">
        <v>45905</v>
      </c>
      <c r="I12" s="19"/>
      <c r="J12" s="20"/>
      <c r="K12" s="20"/>
      <c r="L12" s="20"/>
    </row>
    <row r="13" spans="1:12">
      <c r="A13" s="12">
        <v>5</v>
      </c>
      <c r="B13" s="12" t="s">
        <v>163</v>
      </c>
      <c r="C13" s="20"/>
      <c r="D13" s="17"/>
      <c r="E13" s="17">
        <v>1</v>
      </c>
      <c r="F13" s="17" t="s">
        <v>56</v>
      </c>
      <c r="G13" s="18">
        <v>45898</v>
      </c>
      <c r="H13" s="37">
        <v>45905</v>
      </c>
      <c r="I13" s="19"/>
      <c r="J13" s="22"/>
      <c r="K13" s="23"/>
      <c r="L13" s="23"/>
    </row>
    <row r="14" spans="1:12">
      <c r="A14" s="12">
        <v>6</v>
      </c>
      <c r="B14" s="12" t="s">
        <v>164</v>
      </c>
      <c r="C14" s="20"/>
      <c r="D14" s="20"/>
      <c r="E14" s="20" t="s">
        <v>98</v>
      </c>
      <c r="F14" s="20" t="s">
        <v>57</v>
      </c>
      <c r="G14" s="18">
        <v>45898</v>
      </c>
      <c r="H14" s="37">
        <v>45905</v>
      </c>
      <c r="I14" s="19"/>
      <c r="J14" s="22"/>
      <c r="K14" s="23"/>
      <c r="L14" s="23"/>
    </row>
    <row r="15" spans="1:12">
      <c r="A15" s="12">
        <v>7</v>
      </c>
      <c r="B15" s="12" t="s">
        <v>165</v>
      </c>
      <c r="C15" s="20"/>
      <c r="D15" s="17"/>
      <c r="E15" s="17" t="s">
        <v>58</v>
      </c>
      <c r="F15" s="17" t="s">
        <v>59</v>
      </c>
      <c r="G15" s="18">
        <v>45898</v>
      </c>
      <c r="H15" s="37">
        <v>45905</v>
      </c>
      <c r="I15" s="19"/>
      <c r="J15" s="20"/>
      <c r="K15" s="20"/>
      <c r="L15" s="20"/>
    </row>
    <row r="16" spans="1:12">
      <c r="A16" s="12">
        <v>8</v>
      </c>
      <c r="B16" s="12" t="s">
        <v>166</v>
      </c>
      <c r="C16" s="20"/>
      <c r="D16" s="20"/>
      <c r="E16" s="16">
        <v>1</v>
      </c>
      <c r="F16" s="17" t="s">
        <v>56</v>
      </c>
      <c r="G16" s="18">
        <v>45898</v>
      </c>
      <c r="H16" s="37">
        <v>45905</v>
      </c>
      <c r="I16" s="19"/>
      <c r="J16" s="22"/>
      <c r="K16" s="23"/>
      <c r="L16" s="23"/>
    </row>
    <row r="17" spans="1:12" ht="14.25" customHeight="1">
      <c r="A17" s="12">
        <v>9</v>
      </c>
      <c r="B17" s="12" t="s">
        <v>167</v>
      </c>
      <c r="C17" s="20"/>
      <c r="D17" s="20"/>
      <c r="E17" s="20" t="s">
        <v>98</v>
      </c>
      <c r="F17" s="20" t="s">
        <v>57</v>
      </c>
      <c r="G17" s="18">
        <v>45898</v>
      </c>
      <c r="H17" s="37">
        <v>45905</v>
      </c>
      <c r="I17" s="19"/>
      <c r="J17" s="22"/>
      <c r="K17" s="23"/>
      <c r="L17" s="23"/>
    </row>
    <row r="18" spans="1:12" ht="12" customHeight="1">
      <c r="A18" s="12">
        <v>10</v>
      </c>
      <c r="B18" s="12" t="s">
        <v>168</v>
      </c>
      <c r="C18" s="20"/>
      <c r="D18" s="17"/>
      <c r="E18" s="17"/>
      <c r="F18" s="17" t="s">
        <v>76</v>
      </c>
      <c r="G18" s="18">
        <v>45898</v>
      </c>
      <c r="H18" s="37">
        <v>45905</v>
      </c>
      <c r="I18" s="19"/>
      <c r="J18" s="20"/>
      <c r="K18" s="20"/>
      <c r="L18" s="20"/>
    </row>
    <row r="19" spans="1:12">
      <c r="A19" s="12">
        <v>11</v>
      </c>
      <c r="B19" s="12" t="s">
        <v>169</v>
      </c>
      <c r="C19" s="20"/>
      <c r="D19" s="17"/>
      <c r="E19" s="17">
        <v>1</v>
      </c>
      <c r="F19" s="17" t="s">
        <v>56</v>
      </c>
      <c r="G19" s="18">
        <v>45898</v>
      </c>
      <c r="H19" s="37">
        <v>45905</v>
      </c>
      <c r="I19" s="19"/>
      <c r="J19" s="22"/>
      <c r="K19" s="20"/>
      <c r="L19" s="20"/>
    </row>
    <row r="20" spans="1:12">
      <c r="A20" s="12">
        <v>12</v>
      </c>
      <c r="B20" s="12" t="s">
        <v>170</v>
      </c>
      <c r="C20" s="21"/>
      <c r="D20" s="17"/>
      <c r="E20" s="16">
        <v>1</v>
      </c>
      <c r="F20" s="17" t="s">
        <v>57</v>
      </c>
      <c r="G20" s="18">
        <v>45898</v>
      </c>
      <c r="H20" s="37">
        <v>45905</v>
      </c>
      <c r="I20" s="19"/>
      <c r="J20" s="22"/>
      <c r="K20" s="23"/>
      <c r="L20" s="23"/>
    </row>
    <row r="21" spans="1:12">
      <c r="A21" s="12">
        <v>13</v>
      </c>
      <c r="B21" s="12" t="s">
        <v>171</v>
      </c>
      <c r="C21" s="20"/>
      <c r="D21" s="20"/>
      <c r="E21" s="17" t="s">
        <v>58</v>
      </c>
      <c r="F21" s="17" t="s">
        <v>59</v>
      </c>
      <c r="G21" s="18">
        <v>45898</v>
      </c>
      <c r="H21" s="37">
        <v>45905</v>
      </c>
      <c r="I21" s="19"/>
      <c r="J21" s="22"/>
      <c r="K21" s="23"/>
      <c r="L21" s="23"/>
    </row>
    <row r="22" spans="1:12">
      <c r="A22" s="12">
        <v>14</v>
      </c>
      <c r="B22" s="12" t="s">
        <v>172</v>
      </c>
      <c r="C22" s="20"/>
      <c r="D22" s="17"/>
      <c r="E22" s="17">
        <v>3</v>
      </c>
      <c r="F22" s="17" t="s">
        <v>57</v>
      </c>
      <c r="G22" s="18">
        <v>45898</v>
      </c>
      <c r="H22" s="37">
        <v>45905</v>
      </c>
      <c r="I22" s="19"/>
      <c r="J22" s="20"/>
      <c r="K22" s="20"/>
      <c r="L22" s="20"/>
    </row>
    <row r="23" spans="1:12">
      <c r="A23" s="12">
        <v>15</v>
      </c>
      <c r="B23" s="12" t="s">
        <v>173</v>
      </c>
      <c r="C23" s="20"/>
      <c r="D23" s="17"/>
      <c r="E23" s="17">
        <v>1</v>
      </c>
      <c r="F23" s="17" t="s">
        <v>57</v>
      </c>
      <c r="G23" s="18">
        <v>45898</v>
      </c>
      <c r="H23" s="37">
        <v>45905</v>
      </c>
      <c r="I23" s="19"/>
      <c r="J23" s="20"/>
      <c r="K23" s="20"/>
      <c r="L23" s="20"/>
    </row>
    <row r="24" spans="1:12">
      <c r="A24" s="12">
        <v>16</v>
      </c>
      <c r="B24" s="12" t="s">
        <v>174</v>
      </c>
      <c r="C24" s="20"/>
      <c r="D24" s="20"/>
      <c r="E24" s="16">
        <v>1</v>
      </c>
      <c r="F24" s="17" t="s">
        <v>57</v>
      </c>
      <c r="G24" s="18">
        <v>45898</v>
      </c>
      <c r="H24" s="37">
        <v>45905</v>
      </c>
      <c r="I24" s="19"/>
      <c r="J24" s="22"/>
      <c r="K24" s="23"/>
      <c r="L24" s="23"/>
    </row>
    <row r="25" spans="1:12">
      <c r="A25" s="12">
        <v>17</v>
      </c>
      <c r="B25" s="12" t="s">
        <v>175</v>
      </c>
      <c r="C25" s="20"/>
      <c r="D25" s="47"/>
      <c r="E25" s="16">
        <v>1</v>
      </c>
      <c r="F25" s="17" t="s">
        <v>57</v>
      </c>
      <c r="G25" s="18">
        <v>45898</v>
      </c>
      <c r="H25" s="37">
        <v>45905</v>
      </c>
      <c r="I25" s="19"/>
      <c r="J25" s="22"/>
      <c r="K25" s="23"/>
      <c r="L25" s="23"/>
    </row>
    <row r="26" spans="1:12">
      <c r="A26" s="12">
        <v>18</v>
      </c>
      <c r="B26" s="12" t="s">
        <v>176</v>
      </c>
      <c r="C26" s="20"/>
      <c r="D26" s="17"/>
      <c r="E26" s="17">
        <v>1</v>
      </c>
      <c r="F26" s="17" t="s">
        <v>56</v>
      </c>
      <c r="G26" s="18">
        <v>45898</v>
      </c>
      <c r="H26" s="37">
        <v>45905</v>
      </c>
      <c r="I26" s="19"/>
      <c r="J26" s="22"/>
      <c r="K26" s="23"/>
      <c r="L26" s="23"/>
    </row>
    <row r="27" spans="1:12">
      <c r="A27" s="12">
        <v>19</v>
      </c>
      <c r="B27" s="12" t="s">
        <v>177</v>
      </c>
      <c r="C27" s="21"/>
      <c r="D27" s="17"/>
      <c r="E27" s="16">
        <v>1</v>
      </c>
      <c r="F27" s="17" t="s">
        <v>57</v>
      </c>
      <c r="G27" s="18">
        <v>45898</v>
      </c>
      <c r="H27" s="37">
        <v>45905</v>
      </c>
      <c r="I27" s="19"/>
      <c r="J27" s="20"/>
      <c r="K27" s="20"/>
      <c r="L27" s="20"/>
    </row>
    <row r="28" spans="1:12">
      <c r="A28" s="12">
        <v>20</v>
      </c>
      <c r="B28" s="12" t="s">
        <v>178</v>
      </c>
      <c r="C28" s="21"/>
      <c r="D28" s="17"/>
      <c r="E28" s="16">
        <v>1</v>
      </c>
      <c r="F28" s="17" t="s">
        <v>93</v>
      </c>
      <c r="G28" s="18">
        <v>45898</v>
      </c>
      <c r="H28" s="37">
        <v>45905</v>
      </c>
      <c r="I28" s="19"/>
      <c r="J28" s="22"/>
      <c r="K28" s="23"/>
      <c r="L28" s="23"/>
    </row>
    <row r="29" spans="1:12">
      <c r="A29" s="12">
        <v>21</v>
      </c>
      <c r="B29" s="12" t="s">
        <v>179</v>
      </c>
      <c r="C29" s="46"/>
      <c r="D29" s="47"/>
      <c r="E29" s="16">
        <v>1</v>
      </c>
      <c r="F29" s="20" t="s">
        <v>56</v>
      </c>
      <c r="G29" s="18">
        <v>45898</v>
      </c>
      <c r="H29" s="37">
        <v>45905</v>
      </c>
      <c r="I29" s="19"/>
      <c r="J29" s="22"/>
      <c r="K29" s="23"/>
      <c r="L29" s="23"/>
    </row>
    <row r="30" spans="1:12">
      <c r="A30" s="12">
        <v>22</v>
      </c>
      <c r="B30" s="12" t="s">
        <v>180</v>
      </c>
      <c r="C30" s="14"/>
      <c r="D30" s="15"/>
      <c r="E30" s="16">
        <v>1</v>
      </c>
      <c r="F30" s="17" t="s">
        <v>56</v>
      </c>
      <c r="G30" s="18">
        <v>45898</v>
      </c>
      <c r="H30" s="37">
        <v>45905</v>
      </c>
      <c r="I30" s="19"/>
      <c r="J30" s="20"/>
      <c r="K30" s="20"/>
      <c r="L30" s="20"/>
    </row>
    <row r="31" spans="1:12">
      <c r="A31" s="12">
        <v>23</v>
      </c>
      <c r="B31" s="12" t="s">
        <v>181</v>
      </c>
      <c r="C31" s="20"/>
      <c r="D31" s="17"/>
      <c r="E31" s="17">
        <v>1</v>
      </c>
      <c r="F31" s="17" t="s">
        <v>56</v>
      </c>
      <c r="G31" s="18">
        <v>45898</v>
      </c>
      <c r="H31" s="37">
        <v>45905</v>
      </c>
      <c r="I31" s="19"/>
      <c r="J31" s="22"/>
      <c r="K31" s="23"/>
      <c r="L31" s="23"/>
    </row>
    <row r="32" spans="1:12">
      <c r="A32" s="12">
        <v>24</v>
      </c>
      <c r="B32" s="12" t="s">
        <v>182</v>
      </c>
      <c r="C32" s="21"/>
      <c r="D32" s="17"/>
      <c r="E32" s="16">
        <v>1</v>
      </c>
      <c r="F32" s="17" t="s">
        <v>93</v>
      </c>
      <c r="G32" s="18">
        <v>45898</v>
      </c>
      <c r="H32" s="37">
        <v>45905</v>
      </c>
      <c r="I32" s="19"/>
      <c r="J32" s="20"/>
      <c r="K32" s="20"/>
      <c r="L32" s="20"/>
    </row>
    <row r="33" spans="1:12">
      <c r="A33" s="12">
        <v>25</v>
      </c>
      <c r="B33" s="12" t="s">
        <v>183</v>
      </c>
      <c r="C33" s="21"/>
      <c r="D33" s="17"/>
      <c r="E33" s="16">
        <v>1</v>
      </c>
      <c r="F33" s="17" t="s">
        <v>94</v>
      </c>
      <c r="G33" s="18">
        <v>45898</v>
      </c>
      <c r="H33" s="37">
        <v>45905</v>
      </c>
      <c r="I33" s="19"/>
      <c r="J33" s="20"/>
      <c r="K33" s="20"/>
      <c r="L33" s="20"/>
    </row>
    <row r="34" spans="1:12">
      <c r="A34" s="12">
        <v>26</v>
      </c>
      <c r="B34" s="12" t="s">
        <v>184</v>
      </c>
      <c r="C34" s="20"/>
      <c r="D34" s="17"/>
      <c r="E34" s="16">
        <v>1</v>
      </c>
      <c r="F34" s="17" t="s">
        <v>93</v>
      </c>
      <c r="G34" s="18">
        <v>45898</v>
      </c>
      <c r="H34" s="37">
        <v>45905</v>
      </c>
      <c r="I34" s="19"/>
      <c r="J34" s="20"/>
      <c r="K34" s="20"/>
      <c r="L34" s="20"/>
    </row>
    <row r="35" spans="1:12">
      <c r="A35" s="12">
        <v>27</v>
      </c>
      <c r="B35" s="12" t="s">
        <v>185</v>
      </c>
      <c r="C35" s="45"/>
      <c r="D35" s="20"/>
      <c r="E35" s="17">
        <v>3</v>
      </c>
      <c r="F35" s="17" t="s">
        <v>93</v>
      </c>
      <c r="G35" s="18">
        <v>45898</v>
      </c>
      <c r="H35" s="37">
        <v>45905</v>
      </c>
      <c r="I35" s="19"/>
      <c r="J35" s="20"/>
      <c r="K35" s="20"/>
      <c r="L35" s="20"/>
    </row>
    <row r="36" spans="1:12">
      <c r="A36" s="12">
        <v>28</v>
      </c>
      <c r="B36" s="12" t="s">
        <v>186</v>
      </c>
      <c r="C36" s="20"/>
      <c r="D36" s="17"/>
      <c r="E36" s="17">
        <v>3</v>
      </c>
      <c r="F36" s="17" t="s">
        <v>93</v>
      </c>
      <c r="G36" s="18">
        <v>45898</v>
      </c>
      <c r="H36" s="37">
        <v>45905</v>
      </c>
      <c r="I36" s="19"/>
      <c r="J36" s="20"/>
      <c r="K36" s="20"/>
      <c r="L36" s="20"/>
    </row>
    <row r="37" spans="1:12">
      <c r="A37" s="12">
        <v>29</v>
      </c>
      <c r="B37" s="12" t="s">
        <v>187</v>
      </c>
      <c r="C37" s="20"/>
      <c r="D37" s="20"/>
      <c r="E37" s="16">
        <v>1</v>
      </c>
      <c r="F37" s="17" t="s">
        <v>56</v>
      </c>
      <c r="G37" s="18">
        <v>45898</v>
      </c>
      <c r="H37" s="37">
        <v>45905</v>
      </c>
      <c r="I37" s="19"/>
      <c r="J37" s="20"/>
      <c r="K37" s="20"/>
      <c r="L37" s="20"/>
    </row>
    <row r="38" spans="1:12">
      <c r="A38" s="12">
        <v>30</v>
      </c>
      <c r="B38" s="12" t="s">
        <v>188</v>
      </c>
      <c r="C38" s="21"/>
      <c r="D38" s="17"/>
      <c r="E38" s="16">
        <v>1</v>
      </c>
      <c r="F38" s="17" t="s">
        <v>57</v>
      </c>
      <c r="G38" s="18">
        <v>45898</v>
      </c>
      <c r="H38" s="37">
        <v>45905</v>
      </c>
      <c r="I38" s="19"/>
      <c r="J38" s="20"/>
      <c r="K38" s="20"/>
      <c r="L38" s="20"/>
    </row>
    <row r="39" spans="1:12">
      <c r="A39" s="12">
        <v>31</v>
      </c>
      <c r="B39" s="12" t="s">
        <v>189</v>
      </c>
      <c r="C39" s="20"/>
      <c r="D39" s="17"/>
      <c r="E39" s="17" t="s">
        <v>90</v>
      </c>
      <c r="F39" s="17" t="s">
        <v>59</v>
      </c>
      <c r="G39" s="18">
        <v>45898</v>
      </c>
      <c r="H39" s="37">
        <v>45905</v>
      </c>
      <c r="I39" s="19"/>
      <c r="J39" s="20"/>
      <c r="K39" s="20"/>
      <c r="L39" s="20"/>
    </row>
    <row r="40" spans="1:12">
      <c r="A40" s="12">
        <v>32</v>
      </c>
      <c r="B40" s="12" t="s">
        <v>190</v>
      </c>
      <c r="C40" s="20"/>
      <c r="D40" s="20"/>
      <c r="E40" s="17" t="s">
        <v>58</v>
      </c>
      <c r="F40" s="17" t="s">
        <v>59</v>
      </c>
      <c r="G40" s="18">
        <v>45898</v>
      </c>
      <c r="H40" s="37">
        <v>45905</v>
      </c>
      <c r="I40" s="19"/>
      <c r="J40" s="20"/>
      <c r="K40" s="20"/>
      <c r="L40" s="20"/>
    </row>
    <row r="41" spans="1:12">
      <c r="A41" s="12">
        <v>33</v>
      </c>
      <c r="B41" s="12" t="s">
        <v>191</v>
      </c>
      <c r="C41" s="20"/>
      <c r="D41" s="20"/>
      <c r="E41" s="16">
        <v>1</v>
      </c>
      <c r="F41" s="17" t="s">
        <v>57</v>
      </c>
      <c r="G41" s="18">
        <v>45898</v>
      </c>
      <c r="H41" s="37">
        <v>45905</v>
      </c>
      <c r="I41" s="19"/>
      <c r="J41" s="20"/>
      <c r="K41" s="20"/>
      <c r="L41" s="20"/>
    </row>
    <row r="42" spans="1:12">
      <c r="A42" s="12">
        <v>34</v>
      </c>
      <c r="B42" s="12" t="s">
        <v>192</v>
      </c>
      <c r="C42" s="20"/>
      <c r="D42" s="17"/>
      <c r="E42" s="17" t="s">
        <v>90</v>
      </c>
      <c r="F42" s="17" t="s">
        <v>59</v>
      </c>
      <c r="G42" s="18">
        <v>45898</v>
      </c>
      <c r="H42" s="37">
        <v>45905</v>
      </c>
      <c r="I42" s="19"/>
      <c r="J42" s="20"/>
      <c r="K42" s="20"/>
      <c r="L42" s="20"/>
    </row>
    <row r="43" spans="1:12">
      <c r="A43" s="12">
        <v>35</v>
      </c>
      <c r="B43" s="12" t="s">
        <v>193</v>
      </c>
      <c r="C43" s="20"/>
      <c r="D43" s="20"/>
      <c r="E43" s="17">
        <v>1</v>
      </c>
      <c r="F43" s="17" t="s">
        <v>56</v>
      </c>
      <c r="G43" s="18">
        <v>45898</v>
      </c>
      <c r="H43" s="37">
        <v>45905</v>
      </c>
      <c r="I43" s="19"/>
      <c r="J43" s="20"/>
      <c r="K43" s="20"/>
      <c r="L43" s="20"/>
    </row>
    <row r="44" spans="1:12">
      <c r="A44" s="12">
        <v>36</v>
      </c>
      <c r="B44" s="12" t="s">
        <v>194</v>
      </c>
      <c r="C44" s="20"/>
      <c r="D44" s="17"/>
      <c r="E44" s="17">
        <v>1</v>
      </c>
      <c r="F44" s="17" t="s">
        <v>49</v>
      </c>
      <c r="G44" s="18">
        <v>45898</v>
      </c>
      <c r="H44" s="37">
        <v>45905</v>
      </c>
      <c r="I44" s="19"/>
      <c r="J44" s="20"/>
      <c r="K44" s="20"/>
      <c r="L44" s="20"/>
    </row>
    <row r="45" spans="1:12">
      <c r="A45" s="12">
        <v>37</v>
      </c>
      <c r="B45" s="12" t="s">
        <v>195</v>
      </c>
      <c r="C45" s="20"/>
      <c r="D45" s="17"/>
      <c r="E45" s="17">
        <v>1</v>
      </c>
      <c r="F45" s="17" t="s">
        <v>56</v>
      </c>
      <c r="G45" s="18">
        <v>45898</v>
      </c>
      <c r="H45" s="37">
        <v>45905</v>
      </c>
      <c r="I45" s="19"/>
      <c r="J45" s="20"/>
      <c r="K45" s="20"/>
      <c r="L45" s="20"/>
    </row>
    <row r="46" spans="1:12">
      <c r="A46" s="12">
        <v>38</v>
      </c>
      <c r="B46" s="12" t="s">
        <v>196</v>
      </c>
      <c r="C46" s="20"/>
      <c r="D46" s="17"/>
      <c r="E46" s="16">
        <v>1</v>
      </c>
      <c r="F46" s="17" t="s">
        <v>93</v>
      </c>
      <c r="G46" s="18">
        <v>45898</v>
      </c>
      <c r="H46" s="37">
        <v>45905</v>
      </c>
      <c r="I46" s="19"/>
      <c r="J46" s="20"/>
      <c r="K46" s="20"/>
      <c r="L46" s="20"/>
    </row>
    <row r="47" spans="1:12">
      <c r="A47" s="12">
        <v>39</v>
      </c>
      <c r="B47" s="12" t="s">
        <v>197</v>
      </c>
      <c r="C47" s="20"/>
      <c r="D47" s="17"/>
      <c r="E47" s="17">
        <v>2</v>
      </c>
      <c r="F47" s="17" t="s">
        <v>95</v>
      </c>
      <c r="G47" s="18">
        <v>45898</v>
      </c>
      <c r="H47" s="37">
        <v>45905</v>
      </c>
      <c r="I47" s="19"/>
      <c r="J47" s="20"/>
      <c r="K47" s="20"/>
      <c r="L47" s="20"/>
    </row>
  </sheetData>
  <sortState ref="B9:I58">
    <sortCondition ref="B9"/>
  </sortState>
  <mergeCells count="5">
    <mergeCell ref="A1:L1"/>
    <mergeCell ref="A2:L2"/>
    <mergeCell ref="F3:H3"/>
    <mergeCell ref="K3:L7"/>
    <mergeCell ref="C5:E5"/>
  </mergeCells>
  <dataValidations count="3">
    <dataValidation type="list" errorStyle="information" allowBlank="1" showInputMessage="1" showErrorMessage="1" errorTitle="Please Check Entry" error="It is recommended to pick a course from the list." sqref="C9:C25">
      <formula1>#REF!</formula1>
    </dataValidation>
    <dataValidation type="list" errorStyle="information" allowBlank="1" showInputMessage="1" showErrorMessage="1" errorTitle="Please Check Entry" error="It is recommended to pick a course from the list." sqref="C30:C47">
      <formula1>#REF!</formula1>
    </dataValidation>
    <dataValidation type="list" errorStyle="information" allowBlank="1" showInputMessage="1" showErrorMessage="1" errorTitle="Please Check Entry" error="It is recommended to pick a course from the list." sqref="C26:C28">
      <formula1>#REF!</formula1>
    </dataValidation>
  </dataValidations>
  <pageMargins left="0.70866141732283472" right="0.70866141732283472" top="0.74803149606299213" bottom="0.74803149606299213" header="0.31496062992125984" footer="0.31496062992125984"/>
  <pageSetup paperSize="9" scale="90" orientation="landscape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0000"/>
  </sheetPr>
  <dimension ref="A1:L258"/>
  <sheetViews>
    <sheetView zoomScale="98" zoomScaleNormal="45" workbookViewId="0">
      <selection activeCell="F31" sqref="F31"/>
    </sheetView>
  </sheetViews>
  <sheetFormatPr defaultRowHeight="13.8"/>
  <cols>
    <col min="1" max="1" width="4.09765625" customWidth="1"/>
    <col min="2" max="2" width="23.3984375" customWidth="1"/>
    <col min="3" max="3" width="10" customWidth="1"/>
    <col min="4" max="4" width="8.09765625" customWidth="1"/>
    <col min="5" max="5" width="7.69921875" customWidth="1"/>
    <col min="6" max="7" width="14.09765625" customWidth="1"/>
    <col min="8" max="8" width="10.59765625" customWidth="1"/>
    <col min="9" max="9" width="8.09765625" customWidth="1"/>
  </cols>
  <sheetData>
    <row r="1" spans="1:12" ht="22.2">
      <c r="A1" s="58">
        <v>45906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2">
      <c r="A2" s="59"/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63"/>
      <c r="L3" s="63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63"/>
      <c r="L4" s="63"/>
    </row>
    <row r="5" spans="1:12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63"/>
      <c r="L5" s="63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63"/>
      <c r="L6" s="63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63"/>
      <c r="L7" s="63"/>
    </row>
    <row r="8" spans="1:12" ht="96.6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55</v>
      </c>
      <c r="J8" s="36" t="s">
        <v>31</v>
      </c>
      <c r="K8" s="38" t="s">
        <v>32</v>
      </c>
      <c r="L8" s="36"/>
    </row>
    <row r="9" spans="1:12">
      <c r="A9" s="12">
        <v>1</v>
      </c>
      <c r="B9" s="12"/>
      <c r="C9" s="21"/>
      <c r="D9" s="17"/>
      <c r="E9" s="16"/>
      <c r="F9" s="17"/>
      <c r="G9" s="18"/>
      <c r="H9" s="37"/>
      <c r="I9" s="19"/>
      <c r="J9" s="20"/>
      <c r="K9" s="20"/>
      <c r="L9" s="20"/>
    </row>
    <row r="10" spans="1:12">
      <c r="A10" s="12">
        <v>2</v>
      </c>
      <c r="B10" s="20"/>
      <c r="C10" s="20"/>
      <c r="D10" s="17"/>
      <c r="E10" s="17"/>
      <c r="F10" s="17"/>
      <c r="G10" s="37"/>
      <c r="H10" s="37"/>
      <c r="I10" s="19"/>
      <c r="J10" s="22"/>
      <c r="K10" s="23"/>
      <c r="L10" s="23"/>
    </row>
    <row r="11" spans="1:12">
      <c r="A11" s="12">
        <v>3</v>
      </c>
      <c r="B11" s="12"/>
      <c r="C11" s="21"/>
      <c r="D11" s="17"/>
      <c r="E11" s="16"/>
      <c r="F11" s="17"/>
      <c r="G11" s="18"/>
      <c r="H11" s="37"/>
      <c r="I11" s="19"/>
      <c r="J11" s="20"/>
      <c r="K11" s="20"/>
      <c r="L11" s="20"/>
    </row>
    <row r="12" spans="1:12">
      <c r="A12" s="12">
        <v>4</v>
      </c>
      <c r="B12" s="20"/>
      <c r="C12" s="20"/>
      <c r="D12" s="17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0"/>
      <c r="D13" s="17"/>
      <c r="E13" s="17"/>
      <c r="F13" s="17"/>
      <c r="G13" s="37"/>
      <c r="H13" s="37"/>
      <c r="I13" s="19"/>
      <c r="J13" s="22"/>
      <c r="K13" s="23"/>
      <c r="L13" s="23"/>
    </row>
    <row r="14" spans="1:12">
      <c r="A14" s="12">
        <v>6</v>
      </c>
      <c r="B14" s="20"/>
      <c r="C14" s="20"/>
      <c r="D14" s="17"/>
      <c r="E14" s="17"/>
      <c r="F14" s="17"/>
      <c r="G14" s="37"/>
      <c r="H14" s="37"/>
      <c r="I14" s="19"/>
      <c r="J14" s="22"/>
      <c r="K14" s="23"/>
      <c r="L14" s="23"/>
    </row>
    <row r="15" spans="1:12">
      <c r="A15" s="12">
        <v>7</v>
      </c>
      <c r="B15" s="20"/>
      <c r="C15" s="20"/>
      <c r="D15" s="17"/>
      <c r="E15" s="17"/>
      <c r="F15" s="17"/>
      <c r="G15" s="37"/>
      <c r="H15" s="37"/>
      <c r="I15" s="19"/>
      <c r="J15" s="20"/>
      <c r="K15" s="20"/>
      <c r="L15" s="20"/>
    </row>
    <row r="16" spans="1:12">
      <c r="A16" s="12">
        <v>8</v>
      </c>
      <c r="B16" s="20"/>
      <c r="C16" s="20"/>
      <c r="D16" s="17"/>
      <c r="E16" s="17"/>
      <c r="F16" s="17"/>
      <c r="G16" s="37"/>
      <c r="H16" s="37"/>
      <c r="I16" s="19"/>
      <c r="J16" s="22"/>
      <c r="K16" s="23"/>
      <c r="L16" s="23"/>
    </row>
    <row r="17" spans="1:12">
      <c r="A17" s="12">
        <v>9</v>
      </c>
      <c r="B17" s="20"/>
      <c r="C17" s="20"/>
      <c r="D17" s="17"/>
      <c r="E17" s="17"/>
      <c r="F17" s="17"/>
      <c r="G17" s="37"/>
      <c r="H17" s="37"/>
      <c r="I17" s="19"/>
      <c r="J17" s="22"/>
      <c r="K17" s="23"/>
      <c r="L17" s="23"/>
    </row>
    <row r="18" spans="1:12">
      <c r="A18" s="12">
        <v>10</v>
      </c>
      <c r="B18" s="20"/>
      <c r="C18" s="20"/>
      <c r="D18" s="17"/>
      <c r="E18" s="17"/>
      <c r="F18" s="17"/>
      <c r="G18" s="37"/>
      <c r="H18" s="37"/>
      <c r="I18" s="19"/>
      <c r="J18" s="20"/>
      <c r="K18" s="20"/>
      <c r="L18" s="20"/>
    </row>
    <row r="19" spans="1:12">
      <c r="A19" s="12">
        <v>11</v>
      </c>
      <c r="B19" s="20"/>
      <c r="C19" s="20"/>
      <c r="D19" s="17"/>
      <c r="E19" s="17"/>
      <c r="F19" s="17"/>
      <c r="G19" s="37"/>
      <c r="H19" s="37"/>
      <c r="I19" s="19"/>
      <c r="J19" s="22"/>
      <c r="K19" s="20"/>
      <c r="L19" s="20"/>
    </row>
    <row r="20" spans="1:12">
      <c r="A20" s="12">
        <v>12</v>
      </c>
      <c r="B20" s="20"/>
      <c r="C20" s="20"/>
      <c r="D20" s="17"/>
      <c r="E20" s="17"/>
      <c r="F20" s="17"/>
      <c r="G20" s="37"/>
      <c r="H20" s="37"/>
      <c r="I20" s="19"/>
      <c r="J20" s="22"/>
      <c r="K20" s="23"/>
      <c r="L20" s="23"/>
    </row>
    <row r="21" spans="1:12">
      <c r="A21" s="12">
        <v>13</v>
      </c>
      <c r="B21" s="20"/>
      <c r="C21" s="20"/>
      <c r="D21" s="17"/>
      <c r="E21" s="17"/>
      <c r="F21" s="17"/>
      <c r="G21" s="37"/>
      <c r="H21" s="37"/>
      <c r="I21" s="19"/>
      <c r="J21" s="22"/>
      <c r="K21" s="23"/>
      <c r="L21" s="23"/>
    </row>
    <row r="22" spans="1:12">
      <c r="A22" s="12">
        <v>14</v>
      </c>
      <c r="B22" s="20"/>
      <c r="C22" s="20"/>
      <c r="D22" s="17"/>
      <c r="E22" s="17"/>
      <c r="F22" s="17"/>
      <c r="G22" s="37"/>
      <c r="H22" s="37"/>
      <c r="I22" s="19"/>
      <c r="J22" s="20"/>
      <c r="K22" s="20"/>
      <c r="L22" s="20"/>
    </row>
    <row r="23" spans="1:12">
      <c r="A23" s="12">
        <v>15</v>
      </c>
      <c r="B23" s="20"/>
      <c r="C23" s="20"/>
      <c r="D23" s="17"/>
      <c r="E23" s="17"/>
      <c r="F23" s="17"/>
      <c r="G23" s="37"/>
      <c r="H23" s="37"/>
      <c r="I23" s="19"/>
      <c r="J23" s="20"/>
      <c r="K23" s="20"/>
      <c r="L23" s="20"/>
    </row>
    <row r="24" spans="1:12">
      <c r="A24" s="12">
        <v>16</v>
      </c>
      <c r="B24" s="20"/>
      <c r="C24" s="20"/>
      <c r="D24" s="17"/>
      <c r="E24" s="17"/>
      <c r="F24" s="17"/>
      <c r="G24" s="37"/>
      <c r="H24" s="37"/>
      <c r="I24" s="19"/>
      <c r="J24" s="22"/>
      <c r="K24" s="23"/>
      <c r="L24" s="23"/>
    </row>
    <row r="25" spans="1:12">
      <c r="A25" s="12">
        <v>17</v>
      </c>
      <c r="B25" s="20"/>
      <c r="C25" s="20"/>
      <c r="D25" s="17"/>
      <c r="E25" s="17"/>
      <c r="F25" s="17"/>
      <c r="G25" s="37"/>
      <c r="H25" s="37"/>
      <c r="I25" s="19"/>
      <c r="J25" s="22"/>
      <c r="K25" s="23"/>
      <c r="L25" s="23"/>
    </row>
    <row r="26" spans="1:12">
      <c r="A26" s="12">
        <v>18</v>
      </c>
      <c r="B26" s="20"/>
      <c r="C26" s="20"/>
      <c r="D26" s="17"/>
      <c r="E26" s="17"/>
      <c r="F26" s="17"/>
      <c r="G26" s="37"/>
      <c r="H26" s="37"/>
      <c r="I26" s="19"/>
      <c r="J26" s="22"/>
      <c r="K26" s="23"/>
      <c r="L26" s="23"/>
    </row>
    <row r="27" spans="1:12">
      <c r="A27" s="12">
        <v>19</v>
      </c>
      <c r="B27" s="20"/>
      <c r="C27" s="20"/>
      <c r="D27" s="17"/>
      <c r="E27" s="17"/>
      <c r="F27" s="17"/>
      <c r="G27" s="37"/>
      <c r="H27" s="37"/>
      <c r="I27" s="19"/>
      <c r="J27" s="20"/>
      <c r="K27" s="20"/>
      <c r="L27" s="20"/>
    </row>
    <row r="28" spans="1:12">
      <c r="A28" s="12">
        <v>20</v>
      </c>
      <c r="B28" s="20"/>
      <c r="C28" s="20"/>
      <c r="D28" s="17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17"/>
      <c r="E29" s="17"/>
      <c r="F29" s="17"/>
      <c r="G29" s="37"/>
      <c r="H29" s="37"/>
      <c r="I29" s="19"/>
      <c r="J29" s="22"/>
      <c r="K29" s="23"/>
      <c r="L29" s="23"/>
    </row>
    <row r="30" spans="1:12">
      <c r="A30" s="12">
        <v>22</v>
      </c>
      <c r="B30" s="20"/>
      <c r="C30" s="20"/>
      <c r="D30" s="17"/>
      <c r="E30" s="17"/>
      <c r="F30" s="17"/>
      <c r="G30" s="37"/>
      <c r="H30" s="37"/>
      <c r="I30" s="19"/>
      <c r="J30" s="20"/>
      <c r="K30" s="20"/>
      <c r="L30" s="20"/>
    </row>
    <row r="31" spans="1:12">
      <c r="A31" s="12">
        <v>23</v>
      </c>
      <c r="B31" s="20"/>
      <c r="C31" s="20"/>
      <c r="D31" s="17"/>
      <c r="E31" s="17"/>
      <c r="F31" s="17" t="s">
        <v>81</v>
      </c>
      <c r="G31" s="37"/>
      <c r="H31" s="37"/>
      <c r="I31" s="19"/>
      <c r="J31" s="22"/>
      <c r="K31" s="23"/>
      <c r="L31" s="23"/>
    </row>
    <row r="32" spans="1:12">
      <c r="A32" s="12">
        <v>24</v>
      </c>
      <c r="B32" s="20"/>
      <c r="C32" s="20"/>
      <c r="D32" s="17"/>
      <c r="E32" s="17"/>
      <c r="F32" s="17"/>
      <c r="G32" s="37"/>
      <c r="H32" s="37"/>
      <c r="I32" s="19"/>
      <c r="J32" s="20"/>
      <c r="K32" s="20"/>
      <c r="L32" s="20"/>
    </row>
    <row r="33" spans="1:12">
      <c r="A33" s="12">
        <v>25</v>
      </c>
      <c r="B33" s="12"/>
      <c r="C33" s="21"/>
      <c r="D33" s="17"/>
      <c r="E33" s="16"/>
      <c r="F33" s="17"/>
      <c r="G33" s="18"/>
      <c r="H33" s="37"/>
      <c r="I33" s="20"/>
      <c r="J33" s="20"/>
      <c r="K33" s="20"/>
      <c r="L33" s="20"/>
    </row>
    <row r="34" spans="1:12">
      <c r="A34" s="12">
        <v>26</v>
      </c>
      <c r="B34" s="12"/>
      <c r="C34" s="14"/>
      <c r="D34" s="15"/>
      <c r="E34" s="16"/>
      <c r="F34" s="17"/>
      <c r="G34" s="18"/>
      <c r="H34" s="37"/>
      <c r="I34" s="20"/>
      <c r="J34" s="20"/>
      <c r="K34" s="20"/>
      <c r="L34" s="20"/>
    </row>
    <row r="35" spans="1:12">
      <c r="A35" s="12">
        <v>27</v>
      </c>
      <c r="B35" s="12"/>
      <c r="C35" s="14"/>
      <c r="D35" s="17"/>
      <c r="E35" s="16"/>
      <c r="F35" s="17"/>
      <c r="G35" s="18"/>
      <c r="H35" s="37"/>
      <c r="I35" s="20"/>
      <c r="J35" s="20"/>
      <c r="K35" s="20"/>
      <c r="L35" s="20"/>
    </row>
    <row r="36" spans="1:12">
      <c r="A36" s="12">
        <v>28</v>
      </c>
      <c r="B36" s="12"/>
      <c r="C36" s="21"/>
      <c r="D36" s="17"/>
      <c r="E36" s="16"/>
      <c r="F36" s="17"/>
      <c r="G36" s="18"/>
      <c r="H36" s="37"/>
      <c r="I36" s="20"/>
      <c r="J36" s="20"/>
      <c r="K36" s="20"/>
      <c r="L36" s="20"/>
    </row>
    <row r="37" spans="1:12">
      <c r="A37" s="12">
        <v>29</v>
      </c>
      <c r="B37" s="12"/>
      <c r="C37" s="21"/>
      <c r="D37" s="17"/>
      <c r="E37" s="16"/>
      <c r="F37" s="17"/>
      <c r="G37" s="18"/>
      <c r="H37" s="37"/>
      <c r="I37" s="20"/>
      <c r="J37" s="20"/>
      <c r="K37" s="20"/>
      <c r="L37" s="20"/>
    </row>
    <row r="38" spans="1:12">
      <c r="A38" s="12">
        <v>30</v>
      </c>
      <c r="B38" s="12"/>
      <c r="C38" s="21"/>
      <c r="D38" s="17"/>
      <c r="E38" s="21"/>
      <c r="F38" s="16"/>
      <c r="G38" s="18"/>
      <c r="H38" s="18"/>
      <c r="I38" s="20"/>
      <c r="J38" s="20"/>
      <c r="K38" s="20"/>
      <c r="L38" s="20"/>
    </row>
    <row r="39" spans="1:12">
      <c r="A39" s="12">
        <v>31</v>
      </c>
      <c r="B39" s="12"/>
      <c r="C39" s="21"/>
      <c r="D39" s="17"/>
      <c r="E39" s="16"/>
      <c r="F39" s="17"/>
      <c r="G39" s="18"/>
      <c r="H39" s="18"/>
      <c r="I39" s="20"/>
      <c r="J39" s="20"/>
      <c r="K39" s="20"/>
      <c r="L39" s="20"/>
    </row>
    <row r="40" spans="1:12">
      <c r="A40" s="12">
        <v>32</v>
      </c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</row>
    <row r="41" spans="1:12">
      <c r="A41" s="12">
        <v>33</v>
      </c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</row>
    <row r="42" spans="1:12">
      <c r="A42" s="12">
        <v>34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</row>
    <row r="43" spans="1:12">
      <c r="A43" s="12">
        <v>35</v>
      </c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</row>
    <row r="44" spans="1:12">
      <c r="A44" s="12">
        <v>36</v>
      </c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</row>
    <row r="45" spans="1:12">
      <c r="A45" s="12">
        <v>37</v>
      </c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</row>
    <row r="46" spans="1:12">
      <c r="A46" s="12">
        <v>38</v>
      </c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</row>
    <row r="47" spans="1:12">
      <c r="A47" s="12">
        <v>39</v>
      </c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</row>
    <row r="48" spans="1:12">
      <c r="A48" s="12">
        <v>40</v>
      </c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>
      <c r="B124" s="24" t="s">
        <v>1</v>
      </c>
      <c r="C124" s="25" cm="1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 cm="1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 cm="1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 cm="1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 cm="1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 cm="1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 cm="1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 cm="1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 cm="1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 cm="1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 cm="1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 cm="1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 cm="1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 cm="1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 cm="1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 cm="1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 cm="1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 cm="1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 cm="1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>
      <c r="B135" s="24" t="s">
        <v>2</v>
      </c>
      <c r="C135" s="25" cm="1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 cm="1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 cm="1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 cm="1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 cm="1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 cm="1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 cm="1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 cm="1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 cm="1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 cm="1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 cm="1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 cm="1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 cm="1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 cm="1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 cm="1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 cm="1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 cm="1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 cm="1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>
      <c r="B146" s="30" t="s">
        <v>3</v>
      </c>
      <c r="C146" s="25" cm="1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 cm="1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 cm="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 cm="1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 cm="1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 cm="1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 cm="1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 cm="1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 cm="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 cm="1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 cm="1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 cm="1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 cm="1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 cm="1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 cm="1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 cm="1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 cm="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 cm="1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>
      <c r="B157" s="28" t="s">
        <v>42</v>
      </c>
      <c r="C157" s="32" cm="1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 cm="1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 cm="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 cm="1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 cm="1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 cm="1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 cm="1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 cm="1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 cm="1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 cm="1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 cm="1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 cm="1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 cm="1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 cm="1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 cm="1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 cm="1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 cm="1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 cm="1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>
      <c r="B168" s="28" t="s">
        <v>12</v>
      </c>
      <c r="C168" s="25" cm="1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 cm="1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 cm="1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 cm="1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 cm="1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 cm="1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 cm="1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 cm="1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 cm="1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 cm="1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 cm="1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 cm="1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 cm="1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 cm="1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 cm="1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 cm="1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 cm="1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 cm="1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>
      <c r="B179" s="26" t="s">
        <v>43</v>
      </c>
      <c r="C179" s="25" cm="1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 cm="1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 cm="1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 cm="1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 cm="1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 cm="1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 cm="1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 cm="1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 cm="1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 cm="1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 cm="1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 cm="1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 cm="1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 cm="1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 cm="1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 cm="1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 cm="1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 cm="1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>
      <c r="B190" s="28" t="s">
        <v>20</v>
      </c>
      <c r="C190" s="25" cm="1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 cm="1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 cm="1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 cm="1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 cm="1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 cm="1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 cm="1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 cm="1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 cm="1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 cm="1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 cm="1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 cm="1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 cm="1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 cm="1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 cm="1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 cm="1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 cm="1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 cm="1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>
      <c r="B201" s="26" t="s">
        <v>44</v>
      </c>
      <c r="C201" s="25" cm="1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 cm="1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 cm="1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 cm="1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 cm="1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 cm="1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 cm="1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 cm="1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 cm="1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 cm="1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 cm="1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 cm="1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 cm="1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 cm="1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 cm="1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 cm="1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 cm="1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 cm="1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>
      <c r="B212" s="26" t="s">
        <v>13</v>
      </c>
      <c r="C212" s="25" cm="1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 cm="1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 cm="1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 cm="1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 cm="1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 cm="1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 cm="1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 cm="1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 cm="1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 cm="1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 cm="1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 cm="1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 cm="1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 cm="1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 cm="1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 cm="1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 cm="1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 cm="1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>
      <c r="B223" s="26" t="s">
        <v>46</v>
      </c>
      <c r="C223" s="25" cm="1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 cm="1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 cm="1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 cm="1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 cm="1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 cm="1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 cm="1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 cm="1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 cm="1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 cm="1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 cm="1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 cm="1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 cm="1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 cm="1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 cm="1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 cm="1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 cm="1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 cm="1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>
      <c r="B234" s="28" t="s">
        <v>47</v>
      </c>
      <c r="C234" s="25" cm="1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 cm="1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 cm="1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 cm="1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 cm="1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 cm="1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 cm="1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 cm="1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 cm="1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50</v>
      </c>
      <c r="C246" s="20" t="s">
        <v>51</v>
      </c>
      <c r="D246" s="20" t="s">
        <v>52</v>
      </c>
      <c r="E246" s="20" t="s">
        <v>53</v>
      </c>
      <c r="F246" s="20" t="s">
        <v>54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100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0000"/>
  </sheetPr>
  <dimension ref="A1:L258"/>
  <sheetViews>
    <sheetView zoomScale="98" zoomScaleNormal="45" workbookViewId="0">
      <selection activeCell="E35" sqref="E35"/>
    </sheetView>
  </sheetViews>
  <sheetFormatPr defaultRowHeight="13.8"/>
  <cols>
    <col min="1" max="1" width="4.09765625" customWidth="1"/>
    <col min="2" max="2" width="23.3984375" customWidth="1"/>
    <col min="3" max="3" width="10" customWidth="1"/>
    <col min="4" max="4" width="8.09765625" customWidth="1"/>
    <col min="5" max="5" width="7.69921875" customWidth="1"/>
    <col min="6" max="7" width="14.09765625" customWidth="1"/>
    <col min="8" max="8" width="10.59765625" customWidth="1"/>
    <col min="9" max="9" width="8.09765625" customWidth="1"/>
  </cols>
  <sheetData>
    <row r="1" spans="1:12" ht="22.2">
      <c r="A1" s="58">
        <v>45907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2">
      <c r="A2" s="59"/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63"/>
      <c r="L3" s="63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63"/>
      <c r="L4" s="63"/>
    </row>
    <row r="5" spans="1:12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63"/>
      <c r="L5" s="63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63"/>
      <c r="L6" s="63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63"/>
      <c r="L7" s="63"/>
    </row>
    <row r="8" spans="1:12" ht="96.6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55</v>
      </c>
      <c r="J8" s="36" t="s">
        <v>31</v>
      </c>
      <c r="K8" s="38" t="s">
        <v>32</v>
      </c>
      <c r="L8" s="36"/>
    </row>
    <row r="9" spans="1:12">
      <c r="A9" s="12">
        <v>1</v>
      </c>
      <c r="B9" s="20"/>
      <c r="C9" s="20"/>
      <c r="D9" s="39"/>
      <c r="E9" s="17"/>
      <c r="F9" s="17"/>
      <c r="G9" s="37"/>
      <c r="H9" s="37"/>
      <c r="I9" s="19"/>
      <c r="J9" s="20"/>
      <c r="K9" s="20"/>
      <c r="L9" s="20"/>
    </row>
    <row r="10" spans="1:12">
      <c r="A10" s="12">
        <v>2</v>
      </c>
      <c r="B10" s="20"/>
      <c r="C10" s="20"/>
      <c r="D10" s="39"/>
      <c r="E10" s="17"/>
      <c r="F10" s="17"/>
      <c r="G10" s="37"/>
      <c r="H10" s="37"/>
      <c r="I10" s="19"/>
      <c r="J10" s="22"/>
      <c r="K10" s="23"/>
      <c r="L10" s="23"/>
    </row>
    <row r="11" spans="1:12">
      <c r="A11" s="12">
        <v>3</v>
      </c>
      <c r="B11" s="20"/>
      <c r="C11" s="20"/>
      <c r="D11" s="20"/>
      <c r="E11" s="17"/>
      <c r="F11" s="17"/>
      <c r="G11" s="37"/>
      <c r="H11" s="37"/>
      <c r="I11" s="19"/>
      <c r="J11" s="20"/>
      <c r="K11" s="20"/>
      <c r="L11" s="20"/>
    </row>
    <row r="12" spans="1:12">
      <c r="A12" s="12">
        <v>4</v>
      </c>
      <c r="B12" s="20"/>
      <c r="C12" s="20"/>
      <c r="D12" s="20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12"/>
      <c r="C13" s="14"/>
      <c r="D13" s="15"/>
      <c r="E13" s="16"/>
      <c r="F13" s="17"/>
      <c r="G13" s="37"/>
      <c r="H13" s="37"/>
      <c r="I13" s="19"/>
      <c r="J13" s="22"/>
      <c r="K13" s="23"/>
      <c r="L13" s="23"/>
    </row>
    <row r="14" spans="1:12">
      <c r="A14" s="12">
        <v>6</v>
      </c>
      <c r="B14" s="20"/>
      <c r="C14" s="20"/>
      <c r="D14" s="20"/>
      <c r="E14" s="17"/>
      <c r="F14" s="17"/>
      <c r="G14" s="37"/>
      <c r="H14" s="37"/>
      <c r="I14" s="19"/>
      <c r="J14" s="22"/>
      <c r="K14" s="23"/>
      <c r="L14" s="23"/>
    </row>
    <row r="15" spans="1:12">
      <c r="A15" s="12">
        <v>7</v>
      </c>
      <c r="B15" s="20"/>
      <c r="C15" s="20"/>
      <c r="D15" s="39"/>
      <c r="E15" s="17"/>
      <c r="F15" s="17"/>
      <c r="G15" s="37"/>
      <c r="H15" s="37"/>
      <c r="I15" s="19"/>
      <c r="J15" s="20"/>
      <c r="K15" s="20"/>
      <c r="L15" s="20"/>
    </row>
    <row r="16" spans="1:12">
      <c r="A16" s="12">
        <v>8</v>
      </c>
      <c r="B16" s="20"/>
      <c r="C16" s="20"/>
      <c r="D16" s="20"/>
      <c r="E16" s="17"/>
      <c r="F16" s="17"/>
      <c r="G16" s="37"/>
      <c r="H16" s="37"/>
      <c r="I16" s="19"/>
      <c r="J16" s="22"/>
      <c r="K16" s="23"/>
      <c r="L16" s="23"/>
    </row>
    <row r="17" spans="1:12">
      <c r="A17" s="12">
        <v>9</v>
      </c>
      <c r="B17" s="20"/>
      <c r="C17" s="20"/>
      <c r="D17" s="39"/>
      <c r="E17" s="17"/>
      <c r="F17" s="17"/>
      <c r="G17" s="37"/>
      <c r="H17" s="37"/>
      <c r="I17" s="19"/>
      <c r="J17" s="22"/>
      <c r="K17" s="23"/>
      <c r="L17" s="23"/>
    </row>
    <row r="18" spans="1:12">
      <c r="A18" s="12">
        <v>10</v>
      </c>
      <c r="B18" s="20"/>
      <c r="C18" s="20"/>
      <c r="D18" s="20"/>
      <c r="E18" s="17"/>
      <c r="F18" s="17"/>
      <c r="G18" s="37"/>
      <c r="H18" s="37"/>
      <c r="I18" s="19"/>
      <c r="J18" s="20"/>
      <c r="K18" s="20"/>
      <c r="L18" s="20"/>
    </row>
    <row r="19" spans="1:12">
      <c r="A19" s="12">
        <v>11</v>
      </c>
      <c r="B19" s="20"/>
      <c r="C19" s="20"/>
      <c r="D19" s="20"/>
      <c r="E19" s="16"/>
      <c r="F19" s="17"/>
      <c r="G19" s="37"/>
      <c r="H19" s="37"/>
      <c r="I19" s="19"/>
      <c r="J19" s="22"/>
      <c r="K19" s="20"/>
      <c r="L19" s="20"/>
    </row>
    <row r="20" spans="1:12">
      <c r="A20" s="12">
        <v>12</v>
      </c>
      <c r="B20" s="20"/>
      <c r="C20" s="20"/>
      <c r="D20" s="20"/>
      <c r="E20" s="17"/>
      <c r="F20" s="17"/>
      <c r="G20" s="37"/>
      <c r="H20" s="37"/>
      <c r="I20" s="19"/>
      <c r="J20" s="22"/>
      <c r="K20" s="23"/>
      <c r="L20" s="23"/>
    </row>
    <row r="21" spans="1:12">
      <c r="A21" s="12">
        <v>13</v>
      </c>
      <c r="B21" s="12"/>
      <c r="C21" s="21"/>
      <c r="D21" s="17"/>
      <c r="E21" s="16"/>
      <c r="F21" s="17"/>
      <c r="G21" s="37"/>
      <c r="H21" s="37"/>
      <c r="I21" s="19"/>
      <c r="J21" s="22"/>
      <c r="K21" s="23"/>
      <c r="L21" s="23"/>
    </row>
    <row r="22" spans="1:12">
      <c r="A22" s="12">
        <v>14</v>
      </c>
      <c r="B22" s="20"/>
      <c r="C22" s="20"/>
      <c r="D22" s="39"/>
      <c r="E22" s="17"/>
      <c r="F22" s="17"/>
      <c r="G22" s="37"/>
      <c r="H22" s="37"/>
      <c r="I22" s="19"/>
      <c r="J22" s="20"/>
      <c r="K22" s="20"/>
      <c r="L22" s="20"/>
    </row>
    <row r="23" spans="1:12">
      <c r="A23" s="12">
        <v>15</v>
      </c>
      <c r="B23" s="20"/>
      <c r="C23" s="20"/>
      <c r="D23" s="20"/>
      <c r="E23" s="17"/>
      <c r="F23" s="17"/>
      <c r="G23" s="37"/>
      <c r="H23" s="37"/>
      <c r="I23" s="19"/>
      <c r="J23" s="20"/>
      <c r="K23" s="20"/>
      <c r="L23" s="20"/>
    </row>
    <row r="24" spans="1:12">
      <c r="A24" s="12">
        <v>16</v>
      </c>
      <c r="B24" s="20"/>
      <c r="C24" s="20"/>
      <c r="D24" s="39"/>
      <c r="E24" s="17"/>
      <c r="F24" s="17"/>
      <c r="G24" s="37"/>
      <c r="H24" s="37"/>
      <c r="I24" s="19"/>
      <c r="J24" s="22"/>
      <c r="K24" s="23"/>
      <c r="L24" s="23"/>
    </row>
    <row r="25" spans="1:12">
      <c r="A25" s="12">
        <v>17</v>
      </c>
      <c r="B25" s="12"/>
      <c r="C25" s="21"/>
      <c r="D25" s="17"/>
      <c r="E25" s="16"/>
      <c r="F25" s="17"/>
      <c r="G25" s="37"/>
      <c r="H25" s="37"/>
      <c r="I25" s="19"/>
      <c r="J25" s="22"/>
      <c r="K25" s="23"/>
      <c r="L25" s="23"/>
    </row>
    <row r="26" spans="1:12">
      <c r="A26" s="12">
        <v>18</v>
      </c>
      <c r="B26" s="20"/>
      <c r="C26" s="20"/>
      <c r="D26" s="20"/>
      <c r="E26" s="17"/>
      <c r="F26" s="17"/>
      <c r="G26" s="37"/>
      <c r="H26" s="37"/>
      <c r="I26" s="19"/>
      <c r="J26" s="22"/>
      <c r="K26" s="23"/>
      <c r="L26" s="23"/>
    </row>
    <row r="27" spans="1:12">
      <c r="A27" s="12">
        <v>19</v>
      </c>
      <c r="B27" s="20"/>
      <c r="C27" s="20"/>
      <c r="D27" s="39"/>
      <c r="E27" s="17"/>
      <c r="F27" s="17"/>
      <c r="G27" s="37"/>
      <c r="H27" s="37"/>
      <c r="I27" s="19"/>
      <c r="J27" s="20"/>
      <c r="K27" s="20"/>
      <c r="L27" s="20"/>
    </row>
    <row r="28" spans="1:12">
      <c r="A28" s="12">
        <v>20</v>
      </c>
      <c r="B28" s="20"/>
      <c r="C28" s="20"/>
      <c r="D28" s="20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20"/>
      <c r="E29" s="17"/>
      <c r="F29" s="17"/>
      <c r="G29" s="37"/>
      <c r="H29" s="37"/>
      <c r="I29" s="19"/>
      <c r="J29" s="22"/>
      <c r="K29" s="23"/>
      <c r="L29" s="23"/>
    </row>
    <row r="30" spans="1:12">
      <c r="A30" s="12">
        <v>22</v>
      </c>
      <c r="B30" s="20"/>
      <c r="C30" s="20"/>
      <c r="D30" s="20"/>
      <c r="E30" s="17"/>
      <c r="F30" s="17"/>
      <c r="G30" s="37"/>
      <c r="H30" s="37"/>
      <c r="I30" s="19"/>
      <c r="J30" s="20"/>
      <c r="K30" s="20"/>
      <c r="L30" s="20"/>
    </row>
    <row r="31" spans="1:12">
      <c r="A31" s="12">
        <v>23</v>
      </c>
      <c r="B31" s="20"/>
      <c r="C31" s="20"/>
      <c r="D31" s="20"/>
      <c r="E31" s="17"/>
      <c r="F31" s="17"/>
      <c r="G31" s="37"/>
      <c r="H31" s="37"/>
      <c r="I31" s="19"/>
      <c r="J31" s="22"/>
      <c r="K31" s="23"/>
      <c r="L31" s="23"/>
    </row>
    <row r="32" spans="1:12">
      <c r="A32" s="12">
        <v>24</v>
      </c>
      <c r="B32" s="20"/>
      <c r="C32" s="20"/>
      <c r="D32" s="20"/>
      <c r="E32" s="17"/>
      <c r="F32" s="17"/>
      <c r="G32" s="37"/>
      <c r="H32" s="37"/>
      <c r="I32" s="19"/>
      <c r="J32" s="20"/>
      <c r="K32" s="20"/>
      <c r="L32" s="20"/>
    </row>
    <row r="33" spans="1:12">
      <c r="A33" s="12">
        <v>25</v>
      </c>
      <c r="B33" s="20"/>
      <c r="C33" s="20"/>
      <c r="D33" s="20"/>
      <c r="E33" s="17"/>
      <c r="F33" s="17"/>
      <c r="G33" s="37"/>
      <c r="H33" s="37"/>
      <c r="I33" s="20"/>
      <c r="J33" s="20"/>
      <c r="K33" s="20"/>
      <c r="L33" s="20"/>
    </row>
    <row r="34" spans="1:12">
      <c r="A34" s="12">
        <v>26</v>
      </c>
      <c r="B34" s="12"/>
      <c r="C34" s="21"/>
      <c r="D34" s="17"/>
      <c r="E34" s="16"/>
      <c r="F34" s="17"/>
      <c r="G34" s="37"/>
      <c r="H34" s="37"/>
      <c r="I34" s="20"/>
      <c r="J34" s="20"/>
      <c r="K34" s="20"/>
      <c r="L34" s="20"/>
    </row>
    <row r="35" spans="1:12">
      <c r="A35" s="12">
        <v>27</v>
      </c>
      <c r="B35" s="12"/>
      <c r="C35" s="14"/>
      <c r="D35" s="17"/>
      <c r="E35" s="16"/>
      <c r="F35" s="17"/>
      <c r="G35" s="18"/>
      <c r="H35" s="37"/>
      <c r="I35" s="20"/>
      <c r="J35" s="20"/>
      <c r="K35" s="20"/>
      <c r="L35" s="20"/>
    </row>
    <row r="36" spans="1:12">
      <c r="A36" s="12">
        <v>28</v>
      </c>
      <c r="B36" s="12"/>
      <c r="C36" s="21"/>
      <c r="D36" s="17"/>
      <c r="E36" s="16"/>
      <c r="F36" s="17"/>
      <c r="G36" s="18"/>
      <c r="H36" s="37"/>
      <c r="I36" s="20"/>
      <c r="J36" s="20"/>
      <c r="K36" s="20"/>
      <c r="L36" s="20"/>
    </row>
    <row r="37" spans="1:12">
      <c r="A37" s="12">
        <v>29</v>
      </c>
      <c r="B37" s="12"/>
      <c r="C37" s="21"/>
      <c r="D37" s="17"/>
      <c r="E37" s="16"/>
      <c r="F37" s="17"/>
      <c r="G37" s="18"/>
      <c r="H37" s="37"/>
      <c r="I37" s="20"/>
      <c r="J37" s="20"/>
      <c r="K37" s="20"/>
      <c r="L37" s="20"/>
    </row>
    <row r="38" spans="1:12">
      <c r="A38" s="12">
        <v>30</v>
      </c>
      <c r="B38" s="12"/>
      <c r="C38" s="21"/>
      <c r="D38" s="17"/>
      <c r="E38" s="21"/>
      <c r="F38" s="16"/>
      <c r="G38" s="18"/>
      <c r="H38" s="18"/>
      <c r="I38" s="20"/>
      <c r="J38" s="20"/>
      <c r="K38" s="20"/>
      <c r="L38" s="20"/>
    </row>
    <row r="39" spans="1:12">
      <c r="A39" s="12">
        <v>31</v>
      </c>
      <c r="B39" s="12"/>
      <c r="C39" s="21"/>
      <c r="D39" s="17"/>
      <c r="E39" s="16"/>
      <c r="F39" s="17"/>
      <c r="G39" s="18"/>
      <c r="H39" s="18"/>
      <c r="I39" s="20"/>
      <c r="J39" s="20"/>
      <c r="K39" s="20"/>
      <c r="L39" s="20"/>
    </row>
    <row r="40" spans="1:12">
      <c r="A40" s="12">
        <v>32</v>
      </c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</row>
    <row r="41" spans="1:12">
      <c r="A41" s="12">
        <v>33</v>
      </c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</row>
    <row r="42" spans="1:12">
      <c r="A42" s="12">
        <v>34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</row>
    <row r="43" spans="1:12">
      <c r="A43" s="12">
        <v>35</v>
      </c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</row>
    <row r="44" spans="1:12">
      <c r="A44" s="12">
        <v>36</v>
      </c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</row>
    <row r="45" spans="1:12">
      <c r="A45" s="12">
        <v>37</v>
      </c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</row>
    <row r="46" spans="1:12">
      <c r="A46" s="12">
        <v>38</v>
      </c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</row>
    <row r="47" spans="1:12">
      <c r="A47" s="12">
        <v>39</v>
      </c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</row>
    <row r="48" spans="1:12">
      <c r="A48" s="12">
        <v>40</v>
      </c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>
      <c r="B124" s="24" t="s">
        <v>1</v>
      </c>
      <c r="C124" s="25" cm="1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 cm="1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 cm="1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 cm="1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 cm="1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 cm="1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 cm="1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 cm="1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 cm="1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 cm="1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 cm="1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 cm="1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 cm="1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 cm="1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 cm="1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 cm="1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 cm="1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 cm="1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 cm="1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>
      <c r="B135" s="24" t="s">
        <v>2</v>
      </c>
      <c r="C135" s="25" cm="1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 cm="1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 cm="1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 cm="1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 cm="1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 cm="1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 cm="1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 cm="1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 cm="1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 cm="1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 cm="1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 cm="1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 cm="1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 cm="1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 cm="1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 cm="1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 cm="1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 cm="1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>
      <c r="B146" s="30" t="s">
        <v>3</v>
      </c>
      <c r="C146" s="25" cm="1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 cm="1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 cm="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 cm="1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 cm="1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 cm="1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 cm="1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 cm="1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 cm="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 cm="1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 cm="1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 cm="1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 cm="1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 cm="1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 cm="1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 cm="1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 cm="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 cm="1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>
      <c r="B157" s="28" t="s">
        <v>42</v>
      </c>
      <c r="C157" s="32" cm="1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 cm="1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 cm="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 cm="1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 cm="1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 cm="1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 cm="1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 cm="1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 cm="1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 cm="1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 cm="1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 cm="1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 cm="1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 cm="1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 cm="1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 cm="1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 cm="1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 cm="1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>
      <c r="B168" s="28" t="s">
        <v>12</v>
      </c>
      <c r="C168" s="25" cm="1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 cm="1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 cm="1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 cm="1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 cm="1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 cm="1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 cm="1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 cm="1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 cm="1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 cm="1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 cm="1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 cm="1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 cm="1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 cm="1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 cm="1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 cm="1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 cm="1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 cm="1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>
      <c r="B179" s="26" t="s">
        <v>43</v>
      </c>
      <c r="C179" s="25" cm="1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 cm="1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 cm="1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 cm="1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 cm="1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 cm="1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 cm="1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 cm="1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 cm="1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 cm="1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 cm="1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 cm="1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 cm="1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 cm="1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 cm="1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 cm="1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 cm="1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 cm="1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>
      <c r="B190" s="28" t="s">
        <v>20</v>
      </c>
      <c r="C190" s="25" cm="1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 cm="1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 cm="1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 cm="1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 cm="1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 cm="1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 cm="1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 cm="1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 cm="1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 cm="1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 cm="1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 cm="1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 cm="1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 cm="1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 cm="1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 cm="1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 cm="1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 cm="1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>
      <c r="B201" s="26" t="s">
        <v>44</v>
      </c>
      <c r="C201" s="25" cm="1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 cm="1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 cm="1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 cm="1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 cm="1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 cm="1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 cm="1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 cm="1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 cm="1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 cm="1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 cm="1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 cm="1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 cm="1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 cm="1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 cm="1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 cm="1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 cm="1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 cm="1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>
      <c r="B212" s="26" t="s">
        <v>13</v>
      </c>
      <c r="C212" s="25" cm="1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 cm="1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 cm="1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 cm="1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 cm="1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 cm="1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 cm="1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 cm="1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 cm="1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 cm="1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 cm="1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 cm="1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 cm="1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 cm="1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 cm="1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 cm="1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 cm="1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 cm="1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>
      <c r="B223" s="26" t="s">
        <v>46</v>
      </c>
      <c r="C223" s="25" cm="1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 cm="1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 cm="1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 cm="1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 cm="1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 cm="1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 cm="1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 cm="1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 cm="1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 cm="1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 cm="1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 cm="1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 cm="1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 cm="1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 cm="1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 cm="1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 cm="1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 cm="1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>
      <c r="B234" s="28" t="s">
        <v>47</v>
      </c>
      <c r="C234" s="25" cm="1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 cm="1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 cm="1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 cm="1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 cm="1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 cm="1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 cm="1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 cm="1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 cm="1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50</v>
      </c>
      <c r="C246" s="20" t="s">
        <v>51</v>
      </c>
      <c r="D246" s="20" t="s">
        <v>52</v>
      </c>
      <c r="E246" s="20" t="s">
        <v>53</v>
      </c>
      <c r="F246" s="20" t="s">
        <v>54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100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84"/>
  <sheetViews>
    <sheetView topLeftCell="A60" zoomScale="98" zoomScaleNormal="45" workbookViewId="0">
      <selection activeCell="B9" sqref="B9:B84"/>
    </sheetView>
  </sheetViews>
  <sheetFormatPr defaultRowHeight="13.8"/>
  <cols>
    <col min="1" max="1" width="4.09765625" customWidth="1"/>
    <col min="2" max="2" width="23.3984375" customWidth="1"/>
    <col min="3" max="3" width="10.5" customWidth="1"/>
    <col min="4" max="4" width="9.3984375" customWidth="1"/>
    <col min="5" max="5" width="7.09765625" customWidth="1"/>
    <col min="6" max="6" width="13.09765625" customWidth="1"/>
    <col min="7" max="7" width="12.09765625" customWidth="1"/>
    <col min="8" max="8" width="11" customWidth="1"/>
    <col min="9" max="9" width="9.8984375" customWidth="1"/>
  </cols>
  <sheetData>
    <row r="1" spans="1:12" ht="22.2">
      <c r="A1" s="58">
        <v>45908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2">
      <c r="A2" s="59" t="s">
        <v>0</v>
      </c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63"/>
      <c r="L3" s="63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63"/>
      <c r="L4" s="63"/>
    </row>
    <row r="5" spans="1:12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63"/>
      <c r="L5" s="63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63"/>
      <c r="L6" s="63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63"/>
      <c r="L7" s="63"/>
    </row>
    <row r="8" spans="1:12" ht="55.2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2">
      <c r="A9" s="12">
        <v>1</v>
      </c>
      <c r="B9" s="20" t="s">
        <v>159</v>
      </c>
      <c r="C9" s="20"/>
      <c r="D9" s="20"/>
      <c r="E9" s="16">
        <v>1</v>
      </c>
      <c r="F9" s="17" t="s">
        <v>93</v>
      </c>
      <c r="G9" s="37" t="s">
        <v>96</v>
      </c>
      <c r="H9" s="37">
        <v>45908</v>
      </c>
      <c r="I9" s="19"/>
      <c r="J9" s="20"/>
      <c r="K9" s="20"/>
      <c r="L9" s="20"/>
    </row>
    <row r="10" spans="1:12">
      <c r="A10" s="12">
        <v>2</v>
      </c>
      <c r="B10" s="20" t="s">
        <v>160</v>
      </c>
      <c r="C10" s="21"/>
      <c r="D10" s="17"/>
      <c r="E10" s="16">
        <v>2</v>
      </c>
      <c r="F10" s="17" t="s">
        <v>62</v>
      </c>
      <c r="G10" s="37" t="s">
        <v>96</v>
      </c>
      <c r="H10" s="37">
        <v>45908</v>
      </c>
      <c r="I10" s="19"/>
      <c r="J10" s="20"/>
      <c r="K10" s="20"/>
      <c r="L10" s="23"/>
    </row>
    <row r="11" spans="1:12">
      <c r="A11" s="12">
        <v>3</v>
      </c>
      <c r="B11" s="20" t="s">
        <v>161</v>
      </c>
      <c r="C11" s="20"/>
      <c r="D11" s="20"/>
      <c r="E11" s="17">
        <v>1</v>
      </c>
      <c r="F11" s="17" t="s">
        <v>93</v>
      </c>
      <c r="G11" s="37" t="s">
        <v>96</v>
      </c>
      <c r="H11" s="37">
        <v>45908</v>
      </c>
      <c r="I11" s="19"/>
      <c r="J11" s="20"/>
      <c r="K11" s="20"/>
      <c r="L11" s="20"/>
    </row>
    <row r="12" spans="1:12">
      <c r="A12" s="12">
        <v>4</v>
      </c>
      <c r="B12" s="20" t="s">
        <v>162</v>
      </c>
      <c r="C12" s="20"/>
      <c r="D12" s="20"/>
      <c r="E12" s="17">
        <v>1</v>
      </c>
      <c r="F12" s="17" t="s">
        <v>56</v>
      </c>
      <c r="G12" s="37" t="s">
        <v>96</v>
      </c>
      <c r="H12" s="37">
        <v>45908</v>
      </c>
      <c r="I12" s="19"/>
      <c r="J12" s="20"/>
      <c r="K12" s="20"/>
      <c r="L12" s="20"/>
    </row>
    <row r="13" spans="1:12">
      <c r="A13" s="12">
        <v>5</v>
      </c>
      <c r="B13" s="20" t="s">
        <v>163</v>
      </c>
      <c r="C13" s="20"/>
      <c r="D13" s="20"/>
      <c r="E13" s="16">
        <v>1</v>
      </c>
      <c r="F13" s="17" t="s">
        <v>62</v>
      </c>
      <c r="G13" s="37" t="s">
        <v>96</v>
      </c>
      <c r="H13" s="37">
        <v>45908</v>
      </c>
      <c r="I13" s="19"/>
      <c r="J13" s="20"/>
      <c r="K13" s="20"/>
      <c r="L13" s="23"/>
    </row>
    <row r="14" spans="1:12">
      <c r="A14" s="12">
        <v>6</v>
      </c>
      <c r="B14" s="20" t="s">
        <v>164</v>
      </c>
      <c r="C14" s="20"/>
      <c r="D14" s="20"/>
      <c r="E14" s="16">
        <v>2</v>
      </c>
      <c r="F14" s="17" t="s">
        <v>62</v>
      </c>
      <c r="G14" s="37" t="s">
        <v>96</v>
      </c>
      <c r="H14" s="37">
        <v>45908</v>
      </c>
      <c r="I14" s="19"/>
      <c r="J14" s="20"/>
      <c r="K14" s="20"/>
      <c r="L14" s="23"/>
    </row>
    <row r="15" spans="1:12">
      <c r="A15" s="12">
        <v>7</v>
      </c>
      <c r="B15" s="20" t="s">
        <v>165</v>
      </c>
      <c r="C15" s="21"/>
      <c r="D15" s="17"/>
      <c r="E15" s="16">
        <v>1</v>
      </c>
      <c r="F15" s="17" t="s">
        <v>57</v>
      </c>
      <c r="G15" s="37" t="s">
        <v>96</v>
      </c>
      <c r="H15" s="37">
        <v>45908</v>
      </c>
      <c r="I15" s="19"/>
      <c r="J15" s="22"/>
      <c r="K15" s="23"/>
      <c r="L15" s="20"/>
    </row>
    <row r="16" spans="1:12">
      <c r="A16" s="12">
        <v>8</v>
      </c>
      <c r="B16" s="20" t="s">
        <v>166</v>
      </c>
      <c r="C16" s="21"/>
      <c r="D16" s="17"/>
      <c r="E16" s="16" t="s">
        <v>97</v>
      </c>
      <c r="F16" s="17" t="s">
        <v>57</v>
      </c>
      <c r="G16" s="37" t="s">
        <v>96</v>
      </c>
      <c r="H16" s="37">
        <v>45908</v>
      </c>
      <c r="I16" s="19"/>
      <c r="J16" s="20"/>
      <c r="K16" s="20"/>
      <c r="L16" s="23"/>
    </row>
    <row r="17" spans="1:12">
      <c r="A17" s="12">
        <v>9</v>
      </c>
      <c r="B17" s="20" t="s">
        <v>167</v>
      </c>
      <c r="C17" s="21"/>
      <c r="D17" s="17"/>
      <c r="E17" s="16">
        <v>1</v>
      </c>
      <c r="F17" s="17" t="s">
        <v>94</v>
      </c>
      <c r="G17" s="37" t="s">
        <v>96</v>
      </c>
      <c r="H17" s="37">
        <v>45908</v>
      </c>
      <c r="I17" s="19"/>
      <c r="J17" s="20"/>
      <c r="K17" s="20"/>
      <c r="L17" s="23"/>
    </row>
    <row r="18" spans="1:12">
      <c r="A18" s="12">
        <v>10</v>
      </c>
      <c r="B18" s="20" t="s">
        <v>168</v>
      </c>
      <c r="C18" s="20"/>
      <c r="D18" s="20"/>
      <c r="E18" s="17">
        <v>7</v>
      </c>
      <c r="F18" s="17" t="s">
        <v>57</v>
      </c>
      <c r="G18" s="37" t="s">
        <v>96</v>
      </c>
      <c r="H18" s="37">
        <v>45908</v>
      </c>
      <c r="I18" s="19"/>
      <c r="J18" s="22"/>
      <c r="K18" s="23"/>
      <c r="L18" s="20"/>
    </row>
    <row r="19" spans="1:12">
      <c r="A19" s="12">
        <v>11</v>
      </c>
      <c r="B19" s="20" t="s">
        <v>169</v>
      </c>
      <c r="C19" s="20"/>
      <c r="D19" s="20"/>
      <c r="E19" s="17">
        <v>1</v>
      </c>
      <c r="F19" s="17" t="s">
        <v>57</v>
      </c>
      <c r="G19" s="37" t="s">
        <v>96</v>
      </c>
      <c r="H19" s="37">
        <v>45908</v>
      </c>
      <c r="I19" s="19"/>
      <c r="J19" s="22"/>
      <c r="K19" s="23"/>
      <c r="L19" s="20"/>
    </row>
    <row r="20" spans="1:12">
      <c r="A20" s="12">
        <v>12</v>
      </c>
      <c r="B20" s="20" t="s">
        <v>170</v>
      </c>
      <c r="C20" s="20"/>
      <c r="D20" s="20"/>
      <c r="E20" s="17">
        <v>1</v>
      </c>
      <c r="F20" s="17" t="s">
        <v>56</v>
      </c>
      <c r="G20" s="37" t="s">
        <v>96</v>
      </c>
      <c r="H20" s="37">
        <v>45908</v>
      </c>
      <c r="I20" s="19"/>
      <c r="J20" s="20"/>
      <c r="K20" s="20"/>
      <c r="L20" s="23"/>
    </row>
    <row r="21" spans="1:12">
      <c r="A21" s="12">
        <v>13</v>
      </c>
      <c r="B21" s="20" t="s">
        <v>171</v>
      </c>
      <c r="C21" s="20"/>
      <c r="D21" s="20"/>
      <c r="E21" s="17">
        <v>1</v>
      </c>
      <c r="F21" s="20" t="s">
        <v>56</v>
      </c>
      <c r="G21" s="37" t="s">
        <v>96</v>
      </c>
      <c r="H21" s="37">
        <v>45908</v>
      </c>
      <c r="I21" s="19"/>
      <c r="J21" s="20"/>
      <c r="K21" s="20"/>
      <c r="L21" s="23"/>
    </row>
    <row r="22" spans="1:12">
      <c r="A22" s="12">
        <v>14</v>
      </c>
      <c r="B22" s="20" t="s">
        <v>172</v>
      </c>
      <c r="C22" s="20"/>
      <c r="D22" s="20"/>
      <c r="E22" s="16">
        <v>1</v>
      </c>
      <c r="F22" s="17" t="s">
        <v>56</v>
      </c>
      <c r="G22" s="37" t="s">
        <v>96</v>
      </c>
      <c r="H22" s="37">
        <v>45908</v>
      </c>
      <c r="I22" s="19"/>
      <c r="J22" s="22"/>
      <c r="K22" s="23"/>
      <c r="L22" s="20"/>
    </row>
    <row r="23" spans="1:12">
      <c r="A23" s="12">
        <v>15</v>
      </c>
      <c r="B23" s="20" t="s">
        <v>173</v>
      </c>
      <c r="C23" s="20"/>
      <c r="D23" s="20"/>
      <c r="E23" s="20" t="s">
        <v>98</v>
      </c>
      <c r="F23" s="20" t="s">
        <v>57</v>
      </c>
      <c r="G23" s="37" t="s">
        <v>96</v>
      </c>
      <c r="H23" s="37">
        <v>45908</v>
      </c>
      <c r="I23" s="19"/>
      <c r="J23" s="22"/>
      <c r="K23" s="23"/>
      <c r="L23" s="20"/>
    </row>
    <row r="24" spans="1:12">
      <c r="A24" s="12">
        <v>16</v>
      </c>
      <c r="B24" s="20" t="s">
        <v>174</v>
      </c>
      <c r="C24" s="20"/>
      <c r="D24" s="20"/>
      <c r="E24" s="16">
        <v>1</v>
      </c>
      <c r="F24" s="17" t="s">
        <v>62</v>
      </c>
      <c r="G24" s="37" t="s">
        <v>96</v>
      </c>
      <c r="H24" s="37">
        <v>45908</v>
      </c>
      <c r="I24" s="19"/>
      <c r="J24" s="20"/>
      <c r="K24" s="20"/>
      <c r="L24" s="23"/>
    </row>
    <row r="25" spans="1:12">
      <c r="A25" s="12">
        <v>17</v>
      </c>
      <c r="B25" s="20" t="s">
        <v>175</v>
      </c>
      <c r="C25" s="21"/>
      <c r="D25" s="17"/>
      <c r="E25" s="16">
        <v>1</v>
      </c>
      <c r="F25" s="17" t="s">
        <v>57</v>
      </c>
      <c r="G25" s="37" t="s">
        <v>96</v>
      </c>
      <c r="H25" s="37">
        <v>45908</v>
      </c>
      <c r="I25" s="19"/>
      <c r="J25" s="20"/>
      <c r="K25" s="20"/>
      <c r="L25" s="23"/>
    </row>
    <row r="26" spans="1:12">
      <c r="A26" s="12">
        <v>18</v>
      </c>
      <c r="B26" s="20" t="s">
        <v>176</v>
      </c>
      <c r="C26" s="20"/>
      <c r="D26" s="20"/>
      <c r="E26" s="17">
        <v>1</v>
      </c>
      <c r="F26" s="17" t="s">
        <v>56</v>
      </c>
      <c r="G26" s="37" t="s">
        <v>96</v>
      </c>
      <c r="H26" s="37">
        <v>45908</v>
      </c>
      <c r="I26" s="19"/>
      <c r="J26" s="22"/>
      <c r="K26" s="20"/>
      <c r="L26" s="23"/>
    </row>
    <row r="27" spans="1:12">
      <c r="A27" s="12">
        <v>19</v>
      </c>
      <c r="B27" s="20" t="s">
        <v>177</v>
      </c>
      <c r="C27" s="14"/>
      <c r="D27" s="15"/>
      <c r="E27" s="16">
        <v>1</v>
      </c>
      <c r="F27" s="17" t="s">
        <v>57</v>
      </c>
      <c r="G27" s="37" t="s">
        <v>96</v>
      </c>
      <c r="H27" s="37">
        <v>45908</v>
      </c>
      <c r="I27" s="19"/>
      <c r="J27" s="20"/>
      <c r="K27" s="20"/>
      <c r="L27" s="20"/>
    </row>
    <row r="28" spans="1:12">
      <c r="A28" s="12">
        <v>20</v>
      </c>
      <c r="B28" s="20" t="s">
        <v>178</v>
      </c>
      <c r="C28" s="20"/>
      <c r="D28" s="20"/>
      <c r="E28" s="16">
        <v>1</v>
      </c>
      <c r="F28" s="17" t="s">
        <v>93</v>
      </c>
      <c r="G28" s="37" t="s">
        <v>96</v>
      </c>
      <c r="H28" s="37">
        <v>45908</v>
      </c>
      <c r="I28" s="19"/>
      <c r="J28" s="20"/>
      <c r="K28" s="20"/>
      <c r="L28" s="23"/>
    </row>
    <row r="29" spans="1:12">
      <c r="A29" s="12">
        <v>21</v>
      </c>
      <c r="B29" s="20" t="s">
        <v>179</v>
      </c>
      <c r="C29" s="20"/>
      <c r="D29" s="20"/>
      <c r="E29" s="16">
        <v>1</v>
      </c>
      <c r="F29" s="17" t="s">
        <v>56</v>
      </c>
      <c r="G29" s="37" t="s">
        <v>96</v>
      </c>
      <c r="H29" s="37">
        <v>45908</v>
      </c>
      <c r="I29" s="19"/>
      <c r="J29" s="22"/>
      <c r="K29" s="23"/>
      <c r="L29" s="23"/>
    </row>
    <row r="30" spans="1:12">
      <c r="A30" s="12">
        <v>22</v>
      </c>
      <c r="B30" s="20" t="s">
        <v>180</v>
      </c>
      <c r="C30" s="20"/>
      <c r="D30" s="20"/>
      <c r="E30" s="17" t="s">
        <v>58</v>
      </c>
      <c r="F30" s="17" t="s">
        <v>62</v>
      </c>
      <c r="G30" s="37" t="s">
        <v>96</v>
      </c>
      <c r="H30" s="37">
        <v>45908</v>
      </c>
      <c r="I30" s="19"/>
      <c r="J30" s="22"/>
      <c r="K30" s="23"/>
      <c r="L30" s="20"/>
    </row>
    <row r="31" spans="1:12">
      <c r="A31" s="12">
        <v>23</v>
      </c>
      <c r="B31" s="20" t="s">
        <v>181</v>
      </c>
      <c r="C31" s="21"/>
      <c r="D31" s="17"/>
      <c r="E31" s="17">
        <v>1</v>
      </c>
      <c r="F31" s="17" t="s">
        <v>57</v>
      </c>
      <c r="G31" s="37" t="s">
        <v>96</v>
      </c>
      <c r="H31" s="37">
        <v>45908</v>
      </c>
      <c r="I31" s="19"/>
      <c r="J31" s="20"/>
      <c r="K31" s="20"/>
      <c r="L31" s="23"/>
    </row>
    <row r="32" spans="1:12">
      <c r="A32" s="12">
        <v>24</v>
      </c>
      <c r="B32" s="20" t="s">
        <v>182</v>
      </c>
      <c r="C32" s="20"/>
      <c r="D32" s="20"/>
      <c r="E32" s="16">
        <v>1</v>
      </c>
      <c r="F32" s="17" t="s">
        <v>56</v>
      </c>
      <c r="G32" s="37" t="s">
        <v>96</v>
      </c>
      <c r="H32" s="37">
        <v>45908</v>
      </c>
      <c r="I32" s="19"/>
      <c r="J32" s="20"/>
      <c r="K32" s="20"/>
      <c r="L32" s="20"/>
    </row>
    <row r="33" spans="1:12">
      <c r="A33" s="12">
        <v>25</v>
      </c>
      <c r="B33" s="20" t="s">
        <v>183</v>
      </c>
      <c r="C33" s="20"/>
      <c r="D33" s="20"/>
      <c r="E33" s="16">
        <v>1</v>
      </c>
      <c r="F33" s="17" t="s">
        <v>57</v>
      </c>
      <c r="G33" s="37" t="s">
        <v>96</v>
      </c>
      <c r="H33" s="37">
        <v>45908</v>
      </c>
      <c r="I33" s="19"/>
      <c r="J33" s="22"/>
      <c r="K33" s="23"/>
      <c r="L33" s="20"/>
    </row>
    <row r="34" spans="1:12">
      <c r="A34" s="12">
        <v>26</v>
      </c>
      <c r="B34" s="20" t="s">
        <v>184</v>
      </c>
      <c r="C34" s="14"/>
      <c r="D34" s="17"/>
      <c r="E34" s="16">
        <v>1</v>
      </c>
      <c r="F34" s="17" t="s">
        <v>93</v>
      </c>
      <c r="G34" s="37" t="s">
        <v>96</v>
      </c>
      <c r="H34" s="37">
        <v>45908</v>
      </c>
      <c r="I34" s="19"/>
      <c r="J34" s="20"/>
      <c r="K34" s="20"/>
      <c r="L34" s="20"/>
    </row>
    <row r="35" spans="1:12">
      <c r="A35" s="12">
        <v>27</v>
      </c>
      <c r="B35" s="20" t="s">
        <v>185</v>
      </c>
      <c r="C35" s="20"/>
      <c r="D35" s="20"/>
      <c r="E35" s="17">
        <v>1</v>
      </c>
      <c r="F35" s="17" t="s">
        <v>57</v>
      </c>
      <c r="G35" s="37" t="s">
        <v>96</v>
      </c>
      <c r="H35" s="37">
        <v>45908</v>
      </c>
      <c r="I35" s="19"/>
      <c r="J35" s="22"/>
      <c r="K35" s="23"/>
      <c r="L35" s="20"/>
    </row>
    <row r="36" spans="1:12">
      <c r="A36" s="12">
        <v>28</v>
      </c>
      <c r="B36" s="20" t="s">
        <v>186</v>
      </c>
      <c r="C36" s="20"/>
      <c r="D36" s="20"/>
      <c r="E36" s="16">
        <v>1</v>
      </c>
      <c r="F36" s="20" t="s">
        <v>95</v>
      </c>
      <c r="G36" s="37" t="s">
        <v>96</v>
      </c>
      <c r="H36" s="37">
        <v>45908</v>
      </c>
      <c r="I36" s="19"/>
      <c r="J36" s="20"/>
      <c r="K36" s="20"/>
      <c r="L36" s="20"/>
    </row>
    <row r="37" spans="1:12">
      <c r="A37" s="12">
        <v>29</v>
      </c>
      <c r="B37" s="20" t="s">
        <v>187</v>
      </c>
      <c r="C37" s="20"/>
      <c r="D37" s="20"/>
      <c r="E37" s="17" t="s">
        <v>97</v>
      </c>
      <c r="F37" s="17" t="s">
        <v>62</v>
      </c>
      <c r="G37" s="37" t="s">
        <v>96</v>
      </c>
      <c r="H37" s="37">
        <v>45908</v>
      </c>
      <c r="I37" s="19"/>
      <c r="J37" s="22"/>
      <c r="K37" s="23"/>
      <c r="L37" s="20"/>
    </row>
    <row r="38" spans="1:12">
      <c r="A38" s="12">
        <v>30</v>
      </c>
      <c r="B38" s="20" t="s">
        <v>188</v>
      </c>
      <c r="C38" s="20"/>
      <c r="D38" s="20"/>
      <c r="E38" s="16">
        <v>1</v>
      </c>
      <c r="F38" s="17" t="s">
        <v>57</v>
      </c>
      <c r="G38" s="37" t="s">
        <v>96</v>
      </c>
      <c r="H38" s="37">
        <v>45908</v>
      </c>
      <c r="I38" s="19"/>
      <c r="J38" s="20"/>
      <c r="K38" s="20"/>
      <c r="L38" s="20"/>
    </row>
    <row r="39" spans="1:12">
      <c r="A39" s="12">
        <v>31</v>
      </c>
      <c r="B39" s="20" t="s">
        <v>189</v>
      </c>
      <c r="C39" s="20"/>
      <c r="D39" s="20"/>
      <c r="E39" s="17">
        <v>1</v>
      </c>
      <c r="F39" s="17" t="s">
        <v>57</v>
      </c>
      <c r="G39" s="37" t="s">
        <v>96</v>
      </c>
      <c r="H39" s="37">
        <v>45908</v>
      </c>
      <c r="I39" s="19"/>
      <c r="J39" s="22"/>
      <c r="K39" s="23"/>
      <c r="L39" s="20"/>
    </row>
    <row r="40" spans="1:12">
      <c r="A40" s="12">
        <v>32</v>
      </c>
      <c r="B40" s="20" t="s">
        <v>190</v>
      </c>
      <c r="C40" s="20"/>
      <c r="D40" s="20"/>
      <c r="E40" s="17">
        <v>1</v>
      </c>
      <c r="F40" s="17" t="s">
        <v>60</v>
      </c>
      <c r="G40" s="37" t="s">
        <v>96</v>
      </c>
      <c r="H40" s="37">
        <v>45908</v>
      </c>
      <c r="I40" s="19"/>
      <c r="J40" s="22"/>
      <c r="K40" s="23"/>
      <c r="L40" s="20"/>
    </row>
    <row r="41" spans="1:12">
      <c r="A41" s="12">
        <v>33</v>
      </c>
      <c r="B41" s="20" t="s">
        <v>191</v>
      </c>
      <c r="C41" s="20"/>
      <c r="D41" s="20"/>
      <c r="E41" s="17">
        <v>2</v>
      </c>
      <c r="F41" s="17" t="s">
        <v>62</v>
      </c>
      <c r="G41" s="37" t="s">
        <v>96</v>
      </c>
      <c r="H41" s="37">
        <v>45908</v>
      </c>
      <c r="I41" s="19"/>
      <c r="J41" s="20"/>
      <c r="K41" s="20" t="s">
        <v>99</v>
      </c>
      <c r="L41" s="20"/>
    </row>
    <row r="42" spans="1:12">
      <c r="A42" s="12">
        <v>34</v>
      </c>
      <c r="B42" s="20" t="s">
        <v>192</v>
      </c>
      <c r="C42" s="20"/>
      <c r="D42" s="20"/>
      <c r="E42" s="17">
        <v>1</v>
      </c>
      <c r="F42" s="17" t="s">
        <v>93</v>
      </c>
      <c r="G42" s="37" t="s">
        <v>96</v>
      </c>
      <c r="H42" s="37" t="s">
        <v>101</v>
      </c>
      <c r="I42" s="19"/>
      <c r="J42" s="20"/>
      <c r="K42" s="20"/>
      <c r="L42" s="20"/>
    </row>
    <row r="43" spans="1:12">
      <c r="A43" s="12">
        <v>35</v>
      </c>
      <c r="B43" s="20" t="s">
        <v>193</v>
      </c>
      <c r="C43" s="20"/>
      <c r="D43" s="20"/>
      <c r="E43" s="17">
        <v>1</v>
      </c>
      <c r="F43" s="17" t="s">
        <v>57</v>
      </c>
      <c r="G43" s="37" t="s">
        <v>96</v>
      </c>
      <c r="H43" s="37">
        <v>45908</v>
      </c>
      <c r="I43" s="19"/>
      <c r="J43" s="22"/>
      <c r="K43" s="23"/>
      <c r="L43" s="20"/>
    </row>
    <row r="44" spans="1:12">
      <c r="A44" s="12">
        <v>36</v>
      </c>
      <c r="B44" s="20" t="s">
        <v>194</v>
      </c>
      <c r="C44" s="20"/>
      <c r="D44" s="20"/>
      <c r="E44" s="17">
        <v>1</v>
      </c>
      <c r="F44" s="17" t="s">
        <v>56</v>
      </c>
      <c r="G44" s="37" t="s">
        <v>96</v>
      </c>
      <c r="H44" s="37">
        <v>45908</v>
      </c>
      <c r="I44" s="19"/>
      <c r="J44" s="20"/>
      <c r="K44" s="20"/>
      <c r="L44" s="20"/>
    </row>
    <row r="45" spans="1:12">
      <c r="A45" s="12">
        <v>37</v>
      </c>
      <c r="B45" s="20" t="s">
        <v>195</v>
      </c>
      <c r="C45" s="20"/>
      <c r="D45" s="20"/>
      <c r="E45" s="17">
        <v>1</v>
      </c>
      <c r="F45" s="17" t="s">
        <v>56</v>
      </c>
      <c r="G45" s="37" t="s">
        <v>96</v>
      </c>
      <c r="H45" s="37">
        <v>45908</v>
      </c>
      <c r="I45" s="19"/>
      <c r="J45" s="20"/>
      <c r="K45" s="20"/>
      <c r="L45" s="20"/>
    </row>
    <row r="46" spans="1:12">
      <c r="A46" s="12">
        <v>38</v>
      </c>
      <c r="B46" s="20" t="s">
        <v>196</v>
      </c>
      <c r="C46" s="20"/>
      <c r="D46" s="20"/>
      <c r="E46" s="17">
        <v>1</v>
      </c>
      <c r="F46" s="17" t="s">
        <v>60</v>
      </c>
      <c r="G46" s="37" t="s">
        <v>96</v>
      </c>
      <c r="H46" s="37">
        <v>45908</v>
      </c>
      <c r="I46" s="19"/>
      <c r="J46" s="20"/>
      <c r="K46" s="20"/>
      <c r="L46" s="20"/>
    </row>
    <row r="47" spans="1:12">
      <c r="A47" s="12">
        <v>39</v>
      </c>
      <c r="B47" s="20" t="s">
        <v>197</v>
      </c>
      <c r="C47" s="21"/>
      <c r="D47" s="17"/>
      <c r="E47" s="17">
        <v>1</v>
      </c>
      <c r="F47" s="17" t="s">
        <v>93</v>
      </c>
      <c r="G47" s="37" t="s">
        <v>96</v>
      </c>
      <c r="H47" s="37">
        <v>45908</v>
      </c>
      <c r="I47" s="19"/>
      <c r="J47" s="20"/>
      <c r="K47" s="20"/>
      <c r="L47" s="20"/>
    </row>
    <row r="48" spans="1:12">
      <c r="A48" s="12">
        <v>40</v>
      </c>
      <c r="B48" s="20" t="s">
        <v>198</v>
      </c>
      <c r="C48" s="20"/>
      <c r="D48" s="20"/>
      <c r="E48" s="16">
        <v>1</v>
      </c>
      <c r="F48" s="17" t="s">
        <v>56</v>
      </c>
      <c r="G48" s="37" t="s">
        <v>96</v>
      </c>
      <c r="H48" s="37">
        <v>45908</v>
      </c>
      <c r="I48" s="19"/>
      <c r="J48" s="20"/>
      <c r="K48" s="20"/>
      <c r="L48" s="20"/>
    </row>
    <row r="49" spans="1:42">
      <c r="A49" s="12">
        <v>41</v>
      </c>
      <c r="B49" s="20" t="s">
        <v>199</v>
      </c>
      <c r="C49" s="14"/>
      <c r="D49" s="17"/>
      <c r="E49" s="17" t="s">
        <v>58</v>
      </c>
      <c r="F49" s="17" t="s">
        <v>62</v>
      </c>
      <c r="G49" s="37" t="s">
        <v>96</v>
      </c>
      <c r="H49" s="37">
        <v>45908</v>
      </c>
      <c r="I49" s="19"/>
      <c r="J49" s="20"/>
      <c r="K49" s="20"/>
      <c r="L49" s="20"/>
    </row>
    <row r="50" spans="1:42">
      <c r="A50" s="12">
        <v>42</v>
      </c>
      <c r="B50" s="20" t="s">
        <v>200</v>
      </c>
      <c r="C50" s="20"/>
      <c r="D50" s="20"/>
      <c r="E50" s="16">
        <v>1</v>
      </c>
      <c r="F50" s="20" t="s">
        <v>75</v>
      </c>
      <c r="G50" s="37" t="s">
        <v>96</v>
      </c>
      <c r="H50" s="37">
        <v>45908</v>
      </c>
      <c r="I50" s="19"/>
      <c r="J50" s="20"/>
      <c r="K50" s="20"/>
      <c r="L50" s="20"/>
    </row>
    <row r="51" spans="1:42">
      <c r="A51" s="12">
        <v>43</v>
      </c>
      <c r="B51" s="20" t="s">
        <v>201</v>
      </c>
      <c r="C51" s="21"/>
      <c r="D51" s="17"/>
      <c r="E51" s="16">
        <v>1</v>
      </c>
      <c r="F51" s="17" t="s">
        <v>62</v>
      </c>
      <c r="G51" s="37" t="s">
        <v>96</v>
      </c>
      <c r="H51" s="37">
        <v>45908</v>
      </c>
      <c r="I51" s="19"/>
      <c r="J51" s="20"/>
      <c r="K51" s="20"/>
      <c r="L51" s="20"/>
    </row>
    <row r="52" spans="1:42">
      <c r="A52" s="12">
        <v>44</v>
      </c>
      <c r="B52" s="20" t="s">
        <v>202</v>
      </c>
      <c r="C52" s="14"/>
      <c r="D52" s="15"/>
      <c r="E52" s="16">
        <v>3</v>
      </c>
      <c r="F52" s="17" t="s">
        <v>93</v>
      </c>
      <c r="G52" s="37" t="s">
        <v>96</v>
      </c>
      <c r="H52" s="37">
        <v>45908</v>
      </c>
      <c r="I52" s="19"/>
      <c r="J52" s="20"/>
      <c r="K52" s="20"/>
      <c r="L52" s="20"/>
    </row>
    <row r="53" spans="1:42">
      <c r="A53" s="12">
        <v>45</v>
      </c>
      <c r="B53" s="20" t="s">
        <v>203</v>
      </c>
      <c r="C53" s="20"/>
      <c r="D53" s="20"/>
      <c r="E53" s="17">
        <v>3</v>
      </c>
      <c r="F53" s="17" t="s">
        <v>93</v>
      </c>
      <c r="G53" s="37" t="s">
        <v>96</v>
      </c>
      <c r="H53" s="37">
        <v>45908</v>
      </c>
      <c r="I53" s="19"/>
      <c r="J53" s="20"/>
      <c r="K53" s="20"/>
      <c r="L53" s="20"/>
    </row>
    <row r="54" spans="1:42">
      <c r="A54" s="12">
        <v>46</v>
      </c>
      <c r="B54" s="20" t="s">
        <v>204</v>
      </c>
      <c r="C54" s="20"/>
      <c r="D54" s="20"/>
      <c r="E54" s="20" t="s">
        <v>100</v>
      </c>
      <c r="F54" s="17" t="s">
        <v>62</v>
      </c>
      <c r="G54" s="37" t="s">
        <v>96</v>
      </c>
      <c r="H54" s="37">
        <v>45908</v>
      </c>
      <c r="I54" s="19"/>
      <c r="J54" s="20"/>
      <c r="K54" s="20"/>
      <c r="L54" s="20"/>
    </row>
    <row r="55" spans="1:42">
      <c r="A55" s="12">
        <v>47</v>
      </c>
      <c r="B55" s="20" t="s">
        <v>205</v>
      </c>
      <c r="C55" s="14"/>
      <c r="D55" s="17"/>
      <c r="E55" s="16">
        <v>1</v>
      </c>
      <c r="F55" s="17" t="s">
        <v>57</v>
      </c>
      <c r="G55" s="37" t="s">
        <v>96</v>
      </c>
      <c r="H55" s="37">
        <v>45908</v>
      </c>
      <c r="I55" s="19"/>
      <c r="J55" s="20"/>
      <c r="K55" s="20"/>
      <c r="L55" s="20"/>
    </row>
    <row r="56" spans="1:42">
      <c r="A56" s="12">
        <v>48</v>
      </c>
      <c r="B56" s="20" t="s">
        <v>206</v>
      </c>
      <c r="C56" s="20"/>
      <c r="D56" s="20"/>
      <c r="E56" s="17">
        <v>1</v>
      </c>
      <c r="F56" s="17" t="s">
        <v>93</v>
      </c>
      <c r="G56" s="37" t="s">
        <v>96</v>
      </c>
      <c r="H56" s="37">
        <v>45908</v>
      </c>
      <c r="I56" s="19"/>
      <c r="J56" s="20"/>
      <c r="K56" s="20"/>
      <c r="L56" s="20"/>
    </row>
    <row r="57" spans="1:42">
      <c r="A57" s="12">
        <v>49</v>
      </c>
      <c r="B57" s="20" t="s">
        <v>207</v>
      </c>
      <c r="C57" s="20"/>
      <c r="D57" s="20"/>
      <c r="E57" s="17">
        <v>1</v>
      </c>
      <c r="F57" s="17" t="s">
        <v>93</v>
      </c>
      <c r="G57" s="37" t="s">
        <v>96</v>
      </c>
      <c r="H57" s="37">
        <v>45908</v>
      </c>
      <c r="I57" s="19"/>
      <c r="J57" s="20"/>
      <c r="K57" s="20"/>
      <c r="L57" s="20"/>
    </row>
    <row r="58" spans="1:42">
      <c r="A58" s="12">
        <v>50</v>
      </c>
      <c r="B58" s="20" t="s">
        <v>208</v>
      </c>
      <c r="C58" s="21"/>
      <c r="D58" s="17"/>
      <c r="E58" s="17">
        <v>1</v>
      </c>
      <c r="F58" s="17" t="s">
        <v>57</v>
      </c>
      <c r="G58" s="37" t="s">
        <v>96</v>
      </c>
      <c r="H58" s="37">
        <v>45908</v>
      </c>
      <c r="I58" s="19"/>
      <c r="J58" s="20"/>
      <c r="K58" s="20"/>
      <c r="L58" s="20"/>
    </row>
    <row r="59" spans="1:42">
      <c r="A59" s="12">
        <v>51</v>
      </c>
      <c r="B59" s="20" t="s">
        <v>209</v>
      </c>
      <c r="C59" s="21"/>
      <c r="D59" s="17"/>
      <c r="E59" s="17" t="s">
        <v>58</v>
      </c>
      <c r="F59" s="17" t="s">
        <v>59</v>
      </c>
      <c r="G59" s="37" t="s">
        <v>96</v>
      </c>
      <c r="H59" s="37">
        <v>45908</v>
      </c>
      <c r="I59" s="19"/>
      <c r="J59" s="20"/>
      <c r="K59" s="20"/>
      <c r="L59" s="20"/>
    </row>
    <row r="60" spans="1:42">
      <c r="A60" s="12">
        <v>52</v>
      </c>
      <c r="B60" s="20" t="s">
        <v>210</v>
      </c>
      <c r="C60" s="20"/>
      <c r="D60" s="20"/>
      <c r="E60" s="16">
        <v>1</v>
      </c>
      <c r="F60" s="17" t="s">
        <v>56</v>
      </c>
      <c r="G60" s="37" t="s">
        <v>96</v>
      </c>
      <c r="H60" s="37">
        <v>45908</v>
      </c>
      <c r="I60" s="19"/>
      <c r="J60" s="20"/>
      <c r="K60" s="20"/>
      <c r="L60" s="20"/>
    </row>
    <row r="61" spans="1:42">
      <c r="A61" s="12">
        <v>53</v>
      </c>
      <c r="B61" s="20" t="s">
        <v>211</v>
      </c>
      <c r="C61" s="21"/>
      <c r="D61" s="15"/>
      <c r="E61" s="16" t="s">
        <v>90</v>
      </c>
      <c r="F61" s="17" t="s">
        <v>59</v>
      </c>
      <c r="G61" s="37" t="s">
        <v>96</v>
      </c>
      <c r="H61" s="37">
        <v>45908</v>
      </c>
      <c r="I61" s="19"/>
      <c r="J61" s="20"/>
      <c r="K61" s="20"/>
      <c r="L61" s="20"/>
      <c r="AP61" t="e">
        <f>+B62fABRO,B62fABR</f>
        <v>#NAME?</v>
      </c>
    </row>
    <row r="62" spans="1:42">
      <c r="A62" s="12">
        <v>54</v>
      </c>
      <c r="B62" s="20" t="s">
        <v>212</v>
      </c>
      <c r="C62" s="21"/>
      <c r="D62" s="17"/>
      <c r="E62" s="16">
        <v>1</v>
      </c>
      <c r="F62" s="17" t="s">
        <v>56</v>
      </c>
      <c r="G62" s="37" t="s">
        <v>96</v>
      </c>
      <c r="H62" s="37">
        <v>45908</v>
      </c>
      <c r="I62" s="19"/>
      <c r="J62" s="20"/>
      <c r="K62" s="20"/>
      <c r="L62" s="20"/>
    </row>
    <row r="63" spans="1:42">
      <c r="A63" s="12">
        <v>55</v>
      </c>
      <c r="B63" s="20" t="s">
        <v>213</v>
      </c>
      <c r="C63" s="20"/>
      <c r="D63" s="20"/>
      <c r="E63" s="17">
        <v>3</v>
      </c>
      <c r="F63" s="17" t="s">
        <v>57</v>
      </c>
      <c r="G63" s="37" t="s">
        <v>96</v>
      </c>
      <c r="H63" s="37">
        <v>45908</v>
      </c>
      <c r="I63" s="19"/>
      <c r="J63" s="20"/>
      <c r="K63" s="20"/>
      <c r="L63" s="20"/>
    </row>
    <row r="64" spans="1:42">
      <c r="A64" s="12">
        <v>56</v>
      </c>
      <c r="B64" s="20" t="s">
        <v>214</v>
      </c>
      <c r="C64" s="20"/>
      <c r="D64" s="20"/>
      <c r="E64" s="16">
        <v>1</v>
      </c>
      <c r="F64" s="17" t="s">
        <v>57</v>
      </c>
      <c r="G64" s="37" t="s">
        <v>96</v>
      </c>
      <c r="H64" s="37">
        <v>45908</v>
      </c>
      <c r="I64" s="19"/>
      <c r="J64" s="20"/>
      <c r="K64" s="20"/>
      <c r="L64" s="20"/>
    </row>
    <row r="65" spans="1:12">
      <c r="A65" s="12">
        <v>57</v>
      </c>
      <c r="B65" s="20" t="s">
        <v>215</v>
      </c>
      <c r="C65" s="20"/>
      <c r="D65" s="20"/>
      <c r="E65" s="17">
        <v>1</v>
      </c>
      <c r="F65" s="17" t="s">
        <v>93</v>
      </c>
      <c r="G65" s="37" t="s">
        <v>96</v>
      </c>
      <c r="H65" s="37">
        <v>45908</v>
      </c>
      <c r="I65" s="19"/>
      <c r="J65" s="20"/>
      <c r="K65" s="20"/>
      <c r="L65" s="20"/>
    </row>
    <row r="66" spans="1:12">
      <c r="A66" s="12">
        <v>58</v>
      </c>
      <c r="B66" s="20" t="s">
        <v>216</v>
      </c>
      <c r="C66" s="20"/>
      <c r="D66" s="20"/>
      <c r="E66" s="17" t="s">
        <v>58</v>
      </c>
      <c r="F66" s="17" t="s">
        <v>59</v>
      </c>
      <c r="G66" s="37" t="s">
        <v>96</v>
      </c>
      <c r="H66" s="37">
        <v>45908</v>
      </c>
      <c r="I66" s="19"/>
      <c r="J66" s="20"/>
      <c r="K66" s="20"/>
      <c r="L66" s="20"/>
    </row>
    <row r="67" spans="1:12">
      <c r="A67" s="12">
        <v>59</v>
      </c>
      <c r="B67" s="20" t="s">
        <v>217</v>
      </c>
      <c r="C67" s="20"/>
      <c r="D67" s="20"/>
      <c r="E67" s="16">
        <v>1</v>
      </c>
      <c r="F67" s="17" t="s">
        <v>57</v>
      </c>
      <c r="G67" s="37" t="s">
        <v>96</v>
      </c>
      <c r="H67" s="37">
        <v>45908</v>
      </c>
      <c r="I67" s="19"/>
      <c r="J67" s="20"/>
      <c r="K67" s="20"/>
      <c r="L67" s="20"/>
    </row>
    <row r="68" spans="1:12">
      <c r="A68" s="12">
        <v>60</v>
      </c>
      <c r="B68" s="20" t="s">
        <v>218</v>
      </c>
      <c r="C68" s="20"/>
      <c r="D68" s="20"/>
      <c r="E68" s="17">
        <v>1</v>
      </c>
      <c r="F68" s="17" t="s">
        <v>93</v>
      </c>
      <c r="G68" s="37" t="s">
        <v>96</v>
      </c>
      <c r="H68" s="37">
        <v>45908</v>
      </c>
      <c r="I68" s="19"/>
      <c r="J68" s="20"/>
      <c r="K68" s="20"/>
      <c r="L68" s="20"/>
    </row>
    <row r="69" spans="1:12">
      <c r="A69" s="12">
        <v>61</v>
      </c>
      <c r="B69" s="20" t="s">
        <v>219</v>
      </c>
      <c r="C69" s="21"/>
      <c r="D69" s="17"/>
      <c r="E69" s="16">
        <v>1</v>
      </c>
      <c r="F69" s="17" t="s">
        <v>93</v>
      </c>
      <c r="G69" s="37" t="s">
        <v>96</v>
      </c>
      <c r="H69" s="37">
        <v>45908</v>
      </c>
      <c r="I69" s="19"/>
      <c r="J69" s="20"/>
      <c r="K69" s="20"/>
      <c r="L69" s="20"/>
    </row>
    <row r="70" spans="1:12">
      <c r="A70" s="12">
        <v>62</v>
      </c>
      <c r="B70" s="20" t="s">
        <v>220</v>
      </c>
      <c r="C70" s="20"/>
      <c r="D70" s="20"/>
      <c r="E70" s="17">
        <v>1</v>
      </c>
      <c r="F70" s="17" t="s">
        <v>56</v>
      </c>
      <c r="G70" s="37" t="s">
        <v>96</v>
      </c>
      <c r="H70" s="37">
        <v>45908</v>
      </c>
      <c r="I70" s="19"/>
      <c r="J70" s="20"/>
      <c r="K70" s="20"/>
      <c r="L70" s="20"/>
    </row>
    <row r="71" spans="1:12">
      <c r="A71" s="12">
        <v>63</v>
      </c>
      <c r="B71" s="20" t="s">
        <v>221</v>
      </c>
      <c r="C71" s="20"/>
      <c r="D71" s="20"/>
      <c r="E71" s="16">
        <v>1</v>
      </c>
      <c r="F71" s="17" t="s">
        <v>56</v>
      </c>
      <c r="G71" s="37" t="s">
        <v>96</v>
      </c>
      <c r="H71" s="37">
        <v>45908</v>
      </c>
      <c r="I71" s="19"/>
      <c r="J71" s="20"/>
      <c r="K71" s="20"/>
      <c r="L71" s="20"/>
    </row>
    <row r="72" spans="1:12">
      <c r="A72" s="12">
        <v>64</v>
      </c>
      <c r="B72" s="20" t="s">
        <v>222</v>
      </c>
      <c r="C72" s="20"/>
      <c r="D72" s="20"/>
      <c r="E72" s="17">
        <v>1</v>
      </c>
      <c r="F72" s="17" t="s">
        <v>62</v>
      </c>
      <c r="G72" s="37" t="s">
        <v>96</v>
      </c>
      <c r="H72" s="37">
        <v>45908</v>
      </c>
      <c r="I72" s="19"/>
      <c r="J72" s="20"/>
      <c r="K72" s="20"/>
      <c r="L72" s="20"/>
    </row>
    <row r="73" spans="1:12">
      <c r="A73" s="12">
        <v>65</v>
      </c>
      <c r="B73" s="20" t="s">
        <v>223</v>
      </c>
      <c r="C73" s="20"/>
      <c r="D73" s="20"/>
      <c r="E73" s="17">
        <v>2</v>
      </c>
      <c r="F73" s="17" t="s">
        <v>62</v>
      </c>
      <c r="G73" s="37" t="s">
        <v>96</v>
      </c>
      <c r="H73" s="37">
        <v>45908</v>
      </c>
      <c r="I73" s="19"/>
      <c r="J73" s="20"/>
      <c r="K73" s="20"/>
      <c r="L73" s="20"/>
    </row>
    <row r="74" spans="1:12">
      <c r="A74" s="12">
        <v>66</v>
      </c>
      <c r="B74" s="20" t="s">
        <v>224</v>
      </c>
      <c r="C74" s="20"/>
      <c r="D74" s="20"/>
      <c r="E74" s="17">
        <v>1</v>
      </c>
      <c r="F74" s="17" t="s">
        <v>57</v>
      </c>
      <c r="G74" s="37" t="s">
        <v>96</v>
      </c>
      <c r="H74" s="37">
        <v>45908</v>
      </c>
      <c r="I74" s="19"/>
      <c r="J74" s="20"/>
      <c r="K74" s="20"/>
      <c r="L74" s="20"/>
    </row>
    <row r="75" spans="1:12">
      <c r="A75" s="12">
        <v>67</v>
      </c>
      <c r="B75" s="20" t="s">
        <v>225</v>
      </c>
      <c r="C75" s="21"/>
      <c r="D75" s="17"/>
      <c r="E75" s="17">
        <v>1</v>
      </c>
      <c r="F75" s="17" t="s">
        <v>93</v>
      </c>
      <c r="G75" s="37" t="s">
        <v>96</v>
      </c>
      <c r="H75" s="37">
        <v>45908</v>
      </c>
      <c r="I75" s="19"/>
      <c r="J75" s="20"/>
      <c r="K75" s="20"/>
      <c r="L75" s="20"/>
    </row>
    <row r="76" spans="1:12">
      <c r="A76" s="12">
        <v>68</v>
      </c>
      <c r="B76" s="20" t="s">
        <v>226</v>
      </c>
      <c r="C76" s="20"/>
      <c r="D76" s="20"/>
      <c r="E76" s="17">
        <v>1</v>
      </c>
      <c r="F76" s="17" t="s">
        <v>93</v>
      </c>
      <c r="G76" s="37" t="s">
        <v>96</v>
      </c>
      <c r="H76" s="37">
        <v>45908</v>
      </c>
      <c r="I76" s="19"/>
      <c r="J76" s="20"/>
      <c r="K76" s="20"/>
      <c r="L76" s="20"/>
    </row>
    <row r="77" spans="1:12">
      <c r="A77" s="12">
        <v>69</v>
      </c>
      <c r="B77" s="20" t="s">
        <v>227</v>
      </c>
      <c r="C77" s="20"/>
      <c r="D77" s="20"/>
      <c r="E77" s="16">
        <v>1</v>
      </c>
      <c r="F77" s="17" t="s">
        <v>62</v>
      </c>
      <c r="G77" s="37" t="s">
        <v>96</v>
      </c>
      <c r="H77" s="37">
        <v>45908</v>
      </c>
      <c r="I77" s="19"/>
      <c r="J77" s="20"/>
      <c r="K77" s="20"/>
      <c r="L77" s="20"/>
    </row>
    <row r="78" spans="1:12">
      <c r="A78" s="12">
        <v>70</v>
      </c>
      <c r="B78" s="20" t="s">
        <v>228</v>
      </c>
      <c r="C78" s="20"/>
      <c r="D78" s="20"/>
      <c r="E78" s="16">
        <v>2</v>
      </c>
      <c r="F78" s="17" t="s">
        <v>62</v>
      </c>
      <c r="G78" s="37" t="s">
        <v>96</v>
      </c>
      <c r="H78" s="37">
        <v>45908</v>
      </c>
      <c r="I78" s="19"/>
      <c r="J78" s="20"/>
      <c r="K78" s="20"/>
      <c r="L78" s="20"/>
    </row>
    <row r="79" spans="1:12">
      <c r="A79" s="12">
        <v>71</v>
      </c>
      <c r="B79" s="20" t="s">
        <v>229</v>
      </c>
      <c r="C79" s="20"/>
      <c r="D79" s="20"/>
      <c r="E79" s="17">
        <v>1</v>
      </c>
      <c r="F79" s="17" t="s">
        <v>56</v>
      </c>
      <c r="G79" s="37" t="s">
        <v>96</v>
      </c>
      <c r="H79" s="37">
        <v>45908</v>
      </c>
      <c r="I79" s="19"/>
      <c r="J79" s="20"/>
      <c r="K79" s="20"/>
      <c r="L79" s="20"/>
    </row>
    <row r="80" spans="1:12">
      <c r="A80" s="12">
        <v>72</v>
      </c>
      <c r="B80" s="20" t="s">
        <v>230</v>
      </c>
      <c r="C80" s="20"/>
      <c r="D80" s="20"/>
      <c r="E80" s="17" t="s">
        <v>90</v>
      </c>
      <c r="F80" s="17" t="s">
        <v>62</v>
      </c>
      <c r="G80" s="37" t="s">
        <v>96</v>
      </c>
      <c r="H80" s="37">
        <v>45908</v>
      </c>
      <c r="I80" s="19"/>
      <c r="J80" s="20"/>
      <c r="K80" s="20"/>
      <c r="L80" s="20"/>
    </row>
    <row r="81" spans="1:12">
      <c r="A81" s="12">
        <v>73</v>
      </c>
      <c r="B81" s="20" t="s">
        <v>231</v>
      </c>
      <c r="C81" s="21"/>
      <c r="D81" s="17"/>
      <c r="E81" s="17">
        <v>1</v>
      </c>
      <c r="F81" s="17" t="s">
        <v>93</v>
      </c>
      <c r="G81" s="37" t="s">
        <v>96</v>
      </c>
      <c r="H81" s="37">
        <v>45908</v>
      </c>
      <c r="I81" s="19"/>
      <c r="J81" s="20"/>
      <c r="K81" s="20"/>
      <c r="L81" s="20"/>
    </row>
    <row r="82" spans="1:12">
      <c r="A82" s="12">
        <v>74</v>
      </c>
      <c r="B82" s="20" t="s">
        <v>232</v>
      </c>
      <c r="C82" s="21"/>
      <c r="D82" s="17"/>
      <c r="E82" s="16" t="s">
        <v>102</v>
      </c>
      <c r="F82" s="17" t="s">
        <v>93</v>
      </c>
      <c r="G82" s="37" t="s">
        <v>96</v>
      </c>
      <c r="H82" s="37">
        <v>45908</v>
      </c>
      <c r="I82" s="19"/>
      <c r="J82" s="20"/>
      <c r="K82" s="20"/>
      <c r="L82" s="20"/>
    </row>
    <row r="83" spans="1:12">
      <c r="A83" s="12">
        <v>75</v>
      </c>
      <c r="B83" s="20" t="s">
        <v>233</v>
      </c>
      <c r="C83" s="21"/>
      <c r="D83" s="17"/>
      <c r="E83" s="16" t="s">
        <v>90</v>
      </c>
      <c r="F83" s="17" t="s">
        <v>59</v>
      </c>
      <c r="G83" s="37">
        <v>45903</v>
      </c>
      <c r="H83" s="37">
        <v>45908</v>
      </c>
      <c r="I83" s="19"/>
      <c r="J83" s="20"/>
      <c r="K83" s="20"/>
      <c r="L83" s="20"/>
    </row>
    <row r="84" spans="1:12">
      <c r="A84" s="12">
        <v>76</v>
      </c>
      <c r="B84" s="20" t="s">
        <v>234</v>
      </c>
      <c r="C84" s="21"/>
      <c r="D84" s="17"/>
      <c r="E84" s="16" t="s">
        <v>90</v>
      </c>
      <c r="F84" s="17" t="s">
        <v>59</v>
      </c>
      <c r="G84" s="37">
        <v>45903</v>
      </c>
      <c r="H84" s="37">
        <v>45908</v>
      </c>
      <c r="I84" s="19"/>
      <c r="J84" s="20"/>
      <c r="K84" s="20"/>
      <c r="L84" s="20"/>
    </row>
  </sheetData>
  <sortState ref="B9:K95">
    <sortCondition ref="B9"/>
  </sortState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84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47"/>
  <sheetViews>
    <sheetView topLeftCell="A5" zoomScale="98" zoomScaleNormal="45" workbookViewId="0">
      <selection activeCell="B9" sqref="B9:B47"/>
    </sheetView>
  </sheetViews>
  <sheetFormatPr defaultRowHeight="13.8"/>
  <cols>
    <col min="1" max="1" width="4.09765625" customWidth="1"/>
    <col min="2" max="2" width="23.3984375" customWidth="1"/>
    <col min="3" max="3" width="10.5" customWidth="1"/>
    <col min="4" max="4" width="9.3984375" customWidth="1"/>
    <col min="5" max="5" width="7.09765625" customWidth="1"/>
    <col min="6" max="6" width="13.09765625" customWidth="1"/>
    <col min="7" max="7" width="12.09765625" customWidth="1"/>
    <col min="8" max="8" width="11" customWidth="1"/>
    <col min="9" max="9" width="9.8984375" customWidth="1"/>
  </cols>
  <sheetData>
    <row r="1" spans="1:12" ht="22.2">
      <c r="A1" s="58">
        <v>45909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2">
      <c r="A2" s="59" t="s">
        <v>0</v>
      </c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63"/>
      <c r="L3" s="63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63"/>
      <c r="L4" s="63"/>
    </row>
    <row r="5" spans="1:12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63"/>
      <c r="L5" s="63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63"/>
      <c r="L6" s="63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63"/>
      <c r="L7" s="63"/>
    </row>
    <row r="8" spans="1:12" ht="55.2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2">
      <c r="A9" s="12">
        <v>1</v>
      </c>
      <c r="B9" s="12" t="s">
        <v>159</v>
      </c>
      <c r="C9" s="14"/>
      <c r="D9" s="17"/>
      <c r="E9" s="16">
        <v>1</v>
      </c>
      <c r="F9" s="17" t="s">
        <v>57</v>
      </c>
      <c r="G9" s="37">
        <v>45902</v>
      </c>
      <c r="H9" s="37">
        <v>45909</v>
      </c>
      <c r="I9" s="19"/>
      <c r="J9" s="20"/>
      <c r="K9" s="20"/>
      <c r="L9" s="20"/>
    </row>
    <row r="10" spans="1:12">
      <c r="A10" s="12">
        <v>2</v>
      </c>
      <c r="B10" s="12" t="s">
        <v>160</v>
      </c>
      <c r="C10" s="20"/>
      <c r="D10" s="20"/>
      <c r="E10" s="17">
        <v>1</v>
      </c>
      <c r="F10" s="17" t="s">
        <v>57</v>
      </c>
      <c r="G10" s="37">
        <v>45902</v>
      </c>
      <c r="H10" s="37">
        <v>45909</v>
      </c>
      <c r="I10" s="19"/>
      <c r="J10" s="22"/>
      <c r="K10" s="23"/>
      <c r="L10" s="23"/>
    </row>
    <row r="11" spans="1:12">
      <c r="A11" s="12">
        <v>3</v>
      </c>
      <c r="B11" s="12" t="s">
        <v>161</v>
      </c>
      <c r="C11" s="21"/>
      <c r="D11" s="17"/>
      <c r="E11" s="16">
        <v>1</v>
      </c>
      <c r="F11" s="17" t="s">
        <v>107</v>
      </c>
      <c r="G11" s="37">
        <v>45902</v>
      </c>
      <c r="H11" s="37">
        <v>45909</v>
      </c>
      <c r="I11" s="19"/>
      <c r="J11" s="20"/>
      <c r="K11" s="20"/>
      <c r="L11" s="20"/>
    </row>
    <row r="12" spans="1:12">
      <c r="A12" s="12">
        <v>4</v>
      </c>
      <c r="B12" s="12" t="s">
        <v>162</v>
      </c>
      <c r="C12" s="20"/>
      <c r="D12" s="20"/>
      <c r="E12" s="17">
        <v>3</v>
      </c>
      <c r="F12" s="17" t="s">
        <v>57</v>
      </c>
      <c r="G12" s="37">
        <v>45902</v>
      </c>
      <c r="H12" s="37">
        <v>45909</v>
      </c>
      <c r="I12" s="19"/>
      <c r="J12" s="20"/>
      <c r="K12" s="20"/>
      <c r="L12" s="20"/>
    </row>
    <row r="13" spans="1:12">
      <c r="A13" s="12">
        <v>5</v>
      </c>
      <c r="B13" s="12" t="s">
        <v>163</v>
      </c>
      <c r="C13" s="20"/>
      <c r="D13" s="20"/>
      <c r="E13" s="17">
        <v>1</v>
      </c>
      <c r="F13" s="17" t="s">
        <v>62</v>
      </c>
      <c r="G13" s="37">
        <v>45902</v>
      </c>
      <c r="H13" s="37">
        <v>45909</v>
      </c>
      <c r="I13" s="19"/>
      <c r="J13" s="22"/>
      <c r="K13" s="23"/>
      <c r="L13" s="23"/>
    </row>
    <row r="14" spans="1:12">
      <c r="A14" s="12">
        <v>6</v>
      </c>
      <c r="B14" s="12" t="s">
        <v>164</v>
      </c>
      <c r="C14" s="20"/>
      <c r="D14" s="20"/>
      <c r="E14" s="17">
        <v>2</v>
      </c>
      <c r="F14" s="17" t="s">
        <v>62</v>
      </c>
      <c r="G14" s="37">
        <v>45902</v>
      </c>
      <c r="H14" s="37">
        <v>45909</v>
      </c>
      <c r="I14" s="19"/>
      <c r="J14" s="22"/>
      <c r="K14" s="23"/>
      <c r="L14" s="23"/>
    </row>
    <row r="15" spans="1:12">
      <c r="A15" s="12">
        <v>7</v>
      </c>
      <c r="B15" s="12" t="s">
        <v>165</v>
      </c>
      <c r="C15" s="20"/>
      <c r="D15" s="20"/>
      <c r="E15" s="17" t="s">
        <v>58</v>
      </c>
      <c r="F15" s="17" t="s">
        <v>62</v>
      </c>
      <c r="G15" s="37">
        <v>45902</v>
      </c>
      <c r="H15" s="37">
        <v>45909</v>
      </c>
      <c r="I15" s="19"/>
      <c r="J15" s="20"/>
      <c r="K15" s="20"/>
      <c r="L15" s="20"/>
    </row>
    <row r="16" spans="1:12">
      <c r="A16" s="12">
        <v>8</v>
      </c>
      <c r="B16" s="12" t="s">
        <v>166</v>
      </c>
      <c r="C16" s="21"/>
      <c r="D16" s="17"/>
      <c r="E16" s="17">
        <v>1</v>
      </c>
      <c r="F16" s="17" t="s">
        <v>57</v>
      </c>
      <c r="G16" s="37">
        <v>45902</v>
      </c>
      <c r="H16" s="37">
        <v>45909</v>
      </c>
      <c r="I16" s="19"/>
      <c r="J16" s="22"/>
      <c r="K16" s="23"/>
      <c r="L16" s="23"/>
    </row>
    <row r="17" spans="1:12">
      <c r="A17" s="12">
        <v>9</v>
      </c>
      <c r="B17" s="12" t="s">
        <v>167</v>
      </c>
      <c r="C17" s="20"/>
      <c r="D17" s="20"/>
      <c r="E17" s="17" t="s">
        <v>58</v>
      </c>
      <c r="F17" s="17" t="s">
        <v>59</v>
      </c>
      <c r="G17" s="37">
        <v>45902</v>
      </c>
      <c r="H17" s="37">
        <v>45909</v>
      </c>
      <c r="I17" s="19"/>
      <c r="J17" s="22"/>
      <c r="K17" s="23"/>
      <c r="L17" s="23"/>
    </row>
    <row r="18" spans="1:12">
      <c r="A18" s="12">
        <v>10</v>
      </c>
      <c r="B18" s="12" t="s">
        <v>168</v>
      </c>
      <c r="C18" s="20"/>
      <c r="D18" s="20"/>
      <c r="E18" s="17" t="s">
        <v>58</v>
      </c>
      <c r="F18" s="17" t="s">
        <v>59</v>
      </c>
      <c r="G18" s="37">
        <v>45902</v>
      </c>
      <c r="H18" s="37">
        <v>45909</v>
      </c>
      <c r="I18" s="19"/>
      <c r="J18" s="20"/>
      <c r="K18" s="20"/>
      <c r="L18" s="20"/>
    </row>
    <row r="19" spans="1:12">
      <c r="A19" s="12">
        <v>11</v>
      </c>
      <c r="B19" s="12" t="s">
        <v>169</v>
      </c>
      <c r="C19" s="21"/>
      <c r="D19" s="17"/>
      <c r="E19" s="16">
        <v>2</v>
      </c>
      <c r="F19" s="17" t="s">
        <v>62</v>
      </c>
      <c r="G19" s="37">
        <v>45902</v>
      </c>
      <c r="H19" s="37">
        <v>45909</v>
      </c>
      <c r="I19" s="19"/>
      <c r="J19" s="22"/>
      <c r="K19" s="20"/>
      <c r="L19" s="20"/>
    </row>
    <row r="20" spans="1:12">
      <c r="A20" s="12">
        <v>12</v>
      </c>
      <c r="B20" s="12" t="s">
        <v>170</v>
      </c>
      <c r="C20" s="20"/>
      <c r="D20" s="20"/>
      <c r="E20" s="16" t="s">
        <v>91</v>
      </c>
      <c r="F20" s="17" t="s">
        <v>62</v>
      </c>
      <c r="G20" s="37">
        <v>45902</v>
      </c>
      <c r="H20" s="37">
        <v>45909</v>
      </c>
      <c r="I20" s="19"/>
      <c r="J20" s="22"/>
      <c r="K20" s="23"/>
      <c r="L20" s="23"/>
    </row>
    <row r="21" spans="1:12">
      <c r="A21" s="12">
        <v>13</v>
      </c>
      <c r="B21" s="12" t="s">
        <v>171</v>
      </c>
      <c r="C21" s="20"/>
      <c r="D21" s="20"/>
      <c r="E21" s="16" t="s">
        <v>109</v>
      </c>
      <c r="F21" s="17" t="s">
        <v>62</v>
      </c>
      <c r="G21" s="37">
        <v>45902</v>
      </c>
      <c r="H21" s="37">
        <v>45909</v>
      </c>
      <c r="I21" s="19"/>
      <c r="J21" s="22"/>
      <c r="K21" s="23"/>
      <c r="L21" s="23"/>
    </row>
    <row r="22" spans="1:12">
      <c r="A22" s="12">
        <v>14</v>
      </c>
      <c r="B22" s="12" t="s">
        <v>172</v>
      </c>
      <c r="C22" s="20"/>
      <c r="D22" s="20"/>
      <c r="E22" s="17">
        <v>1</v>
      </c>
      <c r="F22" s="17" t="s">
        <v>57</v>
      </c>
      <c r="G22" s="37">
        <v>45902</v>
      </c>
      <c r="H22" s="37">
        <v>45909</v>
      </c>
      <c r="I22" s="19"/>
      <c r="J22" s="20"/>
      <c r="K22" s="20"/>
      <c r="L22" s="20"/>
    </row>
    <row r="23" spans="1:12">
      <c r="A23" s="12">
        <v>15</v>
      </c>
      <c r="B23" s="12" t="s">
        <v>173</v>
      </c>
      <c r="C23" s="20"/>
      <c r="D23" s="20"/>
      <c r="E23" s="17">
        <v>1</v>
      </c>
      <c r="F23" s="17" t="s">
        <v>57</v>
      </c>
      <c r="G23" s="37">
        <v>45902</v>
      </c>
      <c r="H23" s="37">
        <v>45909</v>
      </c>
      <c r="I23" s="19"/>
      <c r="J23" s="20"/>
      <c r="K23" s="20"/>
      <c r="L23" s="20"/>
    </row>
    <row r="24" spans="1:12">
      <c r="A24" s="12">
        <v>16</v>
      </c>
      <c r="B24" s="12" t="s">
        <v>174</v>
      </c>
      <c r="C24" s="20"/>
      <c r="D24" s="20"/>
      <c r="E24" s="17">
        <v>1</v>
      </c>
      <c r="F24" s="17" t="s">
        <v>60</v>
      </c>
      <c r="G24" s="37">
        <v>45902</v>
      </c>
      <c r="H24" s="37">
        <v>45909</v>
      </c>
      <c r="I24" s="19"/>
      <c r="J24" s="22"/>
      <c r="K24" s="23"/>
      <c r="L24" s="23"/>
    </row>
    <row r="25" spans="1:12">
      <c r="A25" s="12">
        <v>17</v>
      </c>
      <c r="B25" s="12" t="s">
        <v>175</v>
      </c>
      <c r="C25" s="20"/>
      <c r="D25" s="20"/>
      <c r="E25" s="17" t="s">
        <v>58</v>
      </c>
      <c r="F25" s="17" t="s">
        <v>59</v>
      </c>
      <c r="G25" s="37">
        <v>45902</v>
      </c>
      <c r="H25" s="37">
        <v>45909</v>
      </c>
      <c r="I25" s="19"/>
      <c r="J25" s="22"/>
      <c r="K25" s="23"/>
      <c r="L25" s="23"/>
    </row>
    <row r="26" spans="1:12">
      <c r="A26" s="12">
        <v>18</v>
      </c>
      <c r="B26" s="12" t="s">
        <v>176</v>
      </c>
      <c r="C26" s="20"/>
      <c r="D26" s="20"/>
      <c r="E26" s="17" t="s">
        <v>105</v>
      </c>
      <c r="F26" s="17" t="s">
        <v>62</v>
      </c>
      <c r="G26" s="37">
        <v>45902</v>
      </c>
      <c r="H26" s="37">
        <v>45909</v>
      </c>
      <c r="I26" s="19"/>
      <c r="J26" s="22"/>
      <c r="K26" s="23"/>
      <c r="L26" s="23"/>
    </row>
    <row r="27" spans="1:12">
      <c r="A27" s="12">
        <v>19</v>
      </c>
      <c r="B27" s="12" t="s">
        <v>177</v>
      </c>
      <c r="C27" s="20"/>
      <c r="D27" s="20"/>
      <c r="E27" s="17">
        <v>1</v>
      </c>
      <c r="F27" s="17" t="s">
        <v>57</v>
      </c>
      <c r="G27" s="37">
        <v>45903</v>
      </c>
      <c r="H27" s="37">
        <v>45909</v>
      </c>
      <c r="I27" s="19"/>
      <c r="J27" s="20"/>
      <c r="K27" s="20"/>
      <c r="L27" s="20"/>
    </row>
    <row r="28" spans="1:12">
      <c r="A28" s="12">
        <v>20</v>
      </c>
      <c r="B28" s="12" t="s">
        <v>178</v>
      </c>
      <c r="C28" s="20"/>
      <c r="D28" s="20"/>
      <c r="E28" s="17">
        <v>1</v>
      </c>
      <c r="F28" s="17" t="s">
        <v>56</v>
      </c>
      <c r="G28" s="37">
        <v>45902</v>
      </c>
      <c r="H28" s="37">
        <v>45909</v>
      </c>
      <c r="I28" s="19"/>
      <c r="J28" s="22"/>
      <c r="K28" s="23"/>
      <c r="L28" s="23"/>
    </row>
    <row r="29" spans="1:12">
      <c r="A29" s="12">
        <v>21</v>
      </c>
      <c r="B29" s="12" t="s">
        <v>179</v>
      </c>
      <c r="C29" s="20"/>
      <c r="D29" s="20"/>
      <c r="E29" s="16" t="s">
        <v>91</v>
      </c>
      <c r="F29" s="17" t="s">
        <v>62</v>
      </c>
      <c r="G29" s="37">
        <v>45902</v>
      </c>
      <c r="H29" s="37">
        <v>45909</v>
      </c>
      <c r="I29" s="19"/>
      <c r="J29" s="22"/>
      <c r="K29" s="23"/>
      <c r="L29" s="23"/>
    </row>
    <row r="30" spans="1:12">
      <c r="A30" s="12">
        <v>22</v>
      </c>
      <c r="B30" s="12" t="s">
        <v>180</v>
      </c>
      <c r="C30" s="20"/>
      <c r="D30" s="20"/>
      <c r="E30" s="16" t="s">
        <v>109</v>
      </c>
      <c r="F30" s="17" t="s">
        <v>62</v>
      </c>
      <c r="G30" s="37">
        <v>45902</v>
      </c>
      <c r="H30" s="37">
        <v>45909</v>
      </c>
      <c r="I30" s="19"/>
      <c r="J30" s="20"/>
      <c r="K30" s="20"/>
      <c r="L30" s="20"/>
    </row>
    <row r="31" spans="1:12">
      <c r="A31" s="12">
        <v>23</v>
      </c>
      <c r="B31" s="12" t="s">
        <v>181</v>
      </c>
      <c r="C31" s="20"/>
      <c r="D31" s="20"/>
      <c r="E31" s="17" t="s">
        <v>58</v>
      </c>
      <c r="F31" s="17" t="s">
        <v>59</v>
      </c>
      <c r="G31" s="37">
        <v>45902</v>
      </c>
      <c r="H31" s="37">
        <v>45909</v>
      </c>
      <c r="I31" s="19"/>
      <c r="J31" s="22"/>
      <c r="K31" s="23"/>
      <c r="L31" s="23"/>
    </row>
    <row r="32" spans="1:12">
      <c r="A32" s="12">
        <v>24</v>
      </c>
      <c r="B32" s="12" t="s">
        <v>182</v>
      </c>
      <c r="C32" s="20"/>
      <c r="D32" s="20"/>
      <c r="E32" s="17">
        <v>1</v>
      </c>
      <c r="F32" s="17" t="s">
        <v>62</v>
      </c>
      <c r="G32" s="37">
        <v>45902</v>
      </c>
      <c r="H32" s="37">
        <v>45909</v>
      </c>
      <c r="I32" s="19"/>
      <c r="J32" s="20"/>
      <c r="K32" s="20"/>
      <c r="L32" s="20"/>
    </row>
    <row r="33" spans="1:12">
      <c r="A33" s="12">
        <v>25</v>
      </c>
      <c r="B33" s="12" t="s">
        <v>183</v>
      </c>
      <c r="C33" s="20"/>
      <c r="D33" s="20"/>
      <c r="E33" s="17">
        <v>2</v>
      </c>
      <c r="F33" s="17" t="s">
        <v>62</v>
      </c>
      <c r="G33" s="37">
        <v>45902</v>
      </c>
      <c r="H33" s="37">
        <v>45909</v>
      </c>
      <c r="I33" s="19"/>
      <c r="J33" s="20"/>
      <c r="K33" s="20"/>
      <c r="L33" s="20"/>
    </row>
    <row r="34" spans="1:12">
      <c r="A34" s="12">
        <v>26</v>
      </c>
      <c r="B34" s="12" t="s">
        <v>184</v>
      </c>
      <c r="C34" s="21"/>
      <c r="D34" s="17"/>
      <c r="E34" s="16">
        <v>1</v>
      </c>
      <c r="F34" s="17" t="s">
        <v>57</v>
      </c>
      <c r="G34" s="37">
        <v>45902</v>
      </c>
      <c r="H34" s="37">
        <v>45909</v>
      </c>
      <c r="I34" s="19"/>
      <c r="J34" s="20"/>
      <c r="K34" s="20"/>
      <c r="L34" s="20"/>
    </row>
    <row r="35" spans="1:12">
      <c r="A35" s="12">
        <v>27</v>
      </c>
      <c r="B35" s="12" t="s">
        <v>185</v>
      </c>
      <c r="C35" s="20"/>
      <c r="D35" s="20"/>
      <c r="E35" s="17" t="s">
        <v>105</v>
      </c>
      <c r="F35" s="17" t="s">
        <v>62</v>
      </c>
      <c r="G35" s="37">
        <v>45902</v>
      </c>
      <c r="H35" s="37">
        <v>45909</v>
      </c>
      <c r="I35" s="19"/>
      <c r="J35" s="20"/>
      <c r="K35" s="20"/>
      <c r="L35" s="20"/>
    </row>
    <row r="36" spans="1:12">
      <c r="A36" s="12">
        <v>28</v>
      </c>
      <c r="B36" s="12" t="s">
        <v>186</v>
      </c>
      <c r="C36" s="20"/>
      <c r="D36" s="20"/>
      <c r="E36" s="17" t="s">
        <v>58</v>
      </c>
      <c r="F36" s="17" t="s">
        <v>59</v>
      </c>
      <c r="G36" s="37">
        <v>45902</v>
      </c>
      <c r="H36" s="37">
        <v>45909</v>
      </c>
      <c r="I36" s="19"/>
      <c r="J36" s="20"/>
      <c r="K36" s="20"/>
      <c r="L36" s="20"/>
    </row>
    <row r="37" spans="1:12">
      <c r="A37" s="12">
        <v>29</v>
      </c>
      <c r="B37" s="12" t="s">
        <v>187</v>
      </c>
      <c r="C37" s="20"/>
      <c r="D37" s="20"/>
      <c r="E37" s="17">
        <v>1</v>
      </c>
      <c r="F37" s="17" t="s">
        <v>57</v>
      </c>
      <c r="G37" s="37">
        <v>45902</v>
      </c>
      <c r="H37" s="37">
        <v>45909</v>
      </c>
      <c r="I37" s="19"/>
      <c r="J37" s="20"/>
      <c r="K37" s="20"/>
      <c r="L37" s="20"/>
    </row>
    <row r="38" spans="1:12">
      <c r="A38" s="12">
        <v>30</v>
      </c>
      <c r="B38" s="12" t="s">
        <v>188</v>
      </c>
      <c r="C38" s="20"/>
      <c r="D38" s="20"/>
      <c r="E38" s="17" t="s">
        <v>104</v>
      </c>
      <c r="F38" s="17" t="s">
        <v>57</v>
      </c>
      <c r="G38" s="37">
        <v>45902</v>
      </c>
      <c r="H38" s="37">
        <v>45909</v>
      </c>
      <c r="I38" s="19"/>
      <c r="J38" s="20"/>
      <c r="K38" s="20"/>
      <c r="L38" s="20"/>
    </row>
    <row r="39" spans="1:12">
      <c r="A39" s="12">
        <v>31</v>
      </c>
      <c r="B39" s="12" t="s">
        <v>189</v>
      </c>
      <c r="C39" s="20"/>
      <c r="D39" s="20"/>
      <c r="E39" s="17">
        <v>1</v>
      </c>
      <c r="F39" s="17" t="s">
        <v>57</v>
      </c>
      <c r="G39" s="37">
        <v>45902</v>
      </c>
      <c r="H39" s="37">
        <v>45909</v>
      </c>
      <c r="I39" s="19"/>
      <c r="J39" s="20"/>
      <c r="K39" s="20"/>
      <c r="L39" s="20"/>
    </row>
    <row r="40" spans="1:12">
      <c r="A40" s="12">
        <v>32</v>
      </c>
      <c r="B40" s="12" t="s">
        <v>190</v>
      </c>
      <c r="C40" s="21"/>
      <c r="D40" s="17"/>
      <c r="E40" s="17">
        <v>1</v>
      </c>
      <c r="F40" s="17" t="s">
        <v>57</v>
      </c>
      <c r="G40" s="37">
        <v>45902</v>
      </c>
      <c r="H40" s="37">
        <v>45909</v>
      </c>
      <c r="I40" s="19"/>
      <c r="J40" s="20"/>
      <c r="K40" s="20"/>
      <c r="L40" s="20"/>
    </row>
    <row r="41" spans="1:12">
      <c r="A41" s="12">
        <v>33</v>
      </c>
      <c r="B41" s="12" t="s">
        <v>191</v>
      </c>
      <c r="C41" s="20"/>
      <c r="D41" s="20"/>
      <c r="E41" s="16" t="s">
        <v>91</v>
      </c>
      <c r="F41" s="17" t="s">
        <v>62</v>
      </c>
      <c r="G41" s="37">
        <v>45902</v>
      </c>
      <c r="H41" s="37">
        <v>45909</v>
      </c>
      <c r="I41" s="19"/>
      <c r="J41" s="20"/>
      <c r="K41" s="20"/>
      <c r="L41" s="20"/>
    </row>
    <row r="42" spans="1:12">
      <c r="A42" s="12">
        <v>34</v>
      </c>
      <c r="B42" s="12" t="s">
        <v>192</v>
      </c>
      <c r="C42" s="20"/>
      <c r="D42" s="20"/>
      <c r="E42" s="16" t="s">
        <v>109</v>
      </c>
      <c r="F42" s="17" t="s">
        <v>62</v>
      </c>
      <c r="G42" s="37">
        <v>45902</v>
      </c>
      <c r="H42" s="37">
        <v>45909</v>
      </c>
      <c r="I42" s="19"/>
      <c r="J42" s="20"/>
      <c r="K42" s="20"/>
      <c r="L42" s="20"/>
    </row>
    <row r="43" spans="1:12">
      <c r="A43" s="12">
        <v>35</v>
      </c>
      <c r="B43" s="12" t="s">
        <v>193</v>
      </c>
      <c r="C43" s="21"/>
      <c r="D43" s="17"/>
      <c r="E43" s="16" t="s">
        <v>106</v>
      </c>
      <c r="F43" s="17" t="s">
        <v>59</v>
      </c>
      <c r="G43" s="37">
        <v>45902</v>
      </c>
      <c r="H43" s="37">
        <v>45909</v>
      </c>
      <c r="I43" s="19"/>
      <c r="J43" s="20"/>
      <c r="K43" s="20"/>
      <c r="L43" s="20"/>
    </row>
    <row r="44" spans="1:12">
      <c r="A44" s="12">
        <v>36</v>
      </c>
      <c r="B44" s="12" t="s">
        <v>194</v>
      </c>
      <c r="C44" s="14"/>
      <c r="D44" s="15"/>
      <c r="E44" s="16" t="s">
        <v>106</v>
      </c>
      <c r="F44" s="17" t="s">
        <v>59</v>
      </c>
      <c r="G44" s="37">
        <v>45902</v>
      </c>
      <c r="H44" s="37">
        <v>45909</v>
      </c>
      <c r="I44" s="19"/>
      <c r="J44" s="20"/>
      <c r="K44" s="20"/>
      <c r="L44" s="20"/>
    </row>
    <row r="45" spans="1:12">
      <c r="A45" s="12">
        <v>37</v>
      </c>
      <c r="B45" s="12" t="s">
        <v>195</v>
      </c>
      <c r="C45" s="20"/>
      <c r="D45" s="20"/>
      <c r="E45" s="17">
        <v>1</v>
      </c>
      <c r="F45" s="17" t="s">
        <v>62</v>
      </c>
      <c r="G45" s="37">
        <v>45902</v>
      </c>
      <c r="H45" s="37">
        <v>45909</v>
      </c>
      <c r="I45" s="19"/>
      <c r="J45" s="20"/>
      <c r="K45" s="20"/>
      <c r="L45" s="20"/>
    </row>
    <row r="46" spans="1:12">
      <c r="A46" s="12">
        <v>38</v>
      </c>
      <c r="B46" s="12" t="s">
        <v>196</v>
      </c>
      <c r="C46" s="20"/>
      <c r="D46" s="20"/>
      <c r="E46" s="17">
        <v>2</v>
      </c>
      <c r="F46" s="17" t="s">
        <v>62</v>
      </c>
      <c r="G46" s="37">
        <v>45902</v>
      </c>
      <c r="H46" s="37">
        <v>45909</v>
      </c>
      <c r="I46" s="19"/>
      <c r="J46" s="20"/>
      <c r="K46" s="20"/>
      <c r="L46" s="20"/>
    </row>
    <row r="47" spans="1:12">
      <c r="A47" s="12">
        <v>39</v>
      </c>
      <c r="B47" s="12" t="s">
        <v>197</v>
      </c>
      <c r="C47" s="20"/>
      <c r="D47" s="20"/>
      <c r="E47" s="17" t="s">
        <v>90</v>
      </c>
      <c r="F47" s="17" t="s">
        <v>59</v>
      </c>
      <c r="G47" s="37">
        <v>45902</v>
      </c>
      <c r="H47" s="37">
        <v>45909</v>
      </c>
      <c r="I47" s="19"/>
      <c r="J47" s="20"/>
      <c r="K47" s="20"/>
      <c r="L47" s="20"/>
    </row>
  </sheetData>
  <sortState ref="B9:I56">
    <sortCondition ref="B9"/>
  </sortState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47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48"/>
  <sheetViews>
    <sheetView zoomScale="98" zoomScaleNormal="45" workbookViewId="0">
      <selection activeCell="B9" sqref="B9:B48"/>
    </sheetView>
  </sheetViews>
  <sheetFormatPr defaultRowHeight="13.8"/>
  <cols>
    <col min="1" max="1" width="4.09765625" customWidth="1"/>
    <col min="2" max="2" width="23.3984375" customWidth="1"/>
    <col min="3" max="3" width="7.69921875" customWidth="1"/>
    <col min="4" max="4" width="7.59765625" customWidth="1"/>
    <col min="5" max="5" width="6.59765625" customWidth="1"/>
    <col min="6" max="6" width="11.5" customWidth="1"/>
    <col min="7" max="7" width="9.09765625" customWidth="1"/>
    <col min="8" max="8" width="12.19921875" customWidth="1"/>
    <col min="9" max="9" width="10.8984375" customWidth="1"/>
  </cols>
  <sheetData>
    <row r="1" spans="1:12" ht="22.2">
      <c r="A1" s="58">
        <v>45910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2">
      <c r="A2" s="59" t="s">
        <v>0</v>
      </c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63"/>
      <c r="L3" s="63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63"/>
      <c r="L4" s="63"/>
    </row>
    <row r="5" spans="1:12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63"/>
      <c r="L5" s="63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63"/>
      <c r="L6" s="63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63"/>
      <c r="L7" s="63"/>
    </row>
    <row r="8" spans="1:12" ht="55.2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2">
      <c r="A9" s="12">
        <v>1</v>
      </c>
      <c r="B9" s="20" t="s">
        <v>159</v>
      </c>
      <c r="C9" s="20"/>
      <c r="D9" s="20"/>
      <c r="E9" s="17" t="s">
        <v>90</v>
      </c>
      <c r="F9" s="17" t="s">
        <v>59</v>
      </c>
      <c r="G9" s="37">
        <v>45903</v>
      </c>
      <c r="H9" s="37">
        <v>45910</v>
      </c>
      <c r="I9" s="19"/>
      <c r="J9" s="20"/>
      <c r="K9" s="20"/>
      <c r="L9" s="20"/>
    </row>
    <row r="10" spans="1:12">
      <c r="A10" s="12">
        <v>2</v>
      </c>
      <c r="B10" s="20" t="s">
        <v>160</v>
      </c>
      <c r="C10" s="20"/>
      <c r="D10" s="20"/>
      <c r="E10" s="17">
        <v>3</v>
      </c>
      <c r="F10" s="17" t="s">
        <v>57</v>
      </c>
      <c r="G10" s="37">
        <v>45903</v>
      </c>
      <c r="H10" s="37">
        <v>45910</v>
      </c>
      <c r="I10" s="19"/>
      <c r="J10" s="22"/>
      <c r="K10" s="23"/>
      <c r="L10" s="23"/>
    </row>
    <row r="11" spans="1:12">
      <c r="A11" s="12">
        <v>3</v>
      </c>
      <c r="B11" s="20" t="s">
        <v>161</v>
      </c>
      <c r="C11" s="21"/>
      <c r="D11" s="17"/>
      <c r="E11" s="16">
        <v>1</v>
      </c>
      <c r="F11" s="17" t="s">
        <v>57</v>
      </c>
      <c r="G11" s="37">
        <v>45903</v>
      </c>
      <c r="H11" s="37">
        <v>45910</v>
      </c>
      <c r="I11" s="19"/>
      <c r="J11" s="20"/>
      <c r="K11" s="20"/>
      <c r="L11" s="20"/>
    </row>
    <row r="12" spans="1:12">
      <c r="A12" s="12">
        <v>4</v>
      </c>
      <c r="B12" s="20" t="s">
        <v>162</v>
      </c>
      <c r="C12" s="21"/>
      <c r="D12" s="17"/>
      <c r="E12" s="16">
        <v>7</v>
      </c>
      <c r="F12" s="17" t="s">
        <v>57</v>
      </c>
      <c r="G12" s="37">
        <v>45903</v>
      </c>
      <c r="H12" s="37">
        <v>45910</v>
      </c>
      <c r="I12" s="19"/>
      <c r="J12" s="20"/>
      <c r="K12" s="20"/>
      <c r="L12" s="20"/>
    </row>
    <row r="13" spans="1:12">
      <c r="A13" s="12">
        <v>5</v>
      </c>
      <c r="B13" s="20" t="s">
        <v>163</v>
      </c>
      <c r="C13" s="20"/>
      <c r="D13" s="20"/>
      <c r="E13" s="17">
        <v>3</v>
      </c>
      <c r="F13" s="17" t="s">
        <v>57</v>
      </c>
      <c r="G13" s="37">
        <v>45903</v>
      </c>
      <c r="H13" s="37">
        <v>45910</v>
      </c>
      <c r="I13" s="19"/>
      <c r="J13" s="22"/>
      <c r="K13" s="23"/>
      <c r="L13" s="23"/>
    </row>
    <row r="14" spans="1:12">
      <c r="A14" s="12">
        <v>6</v>
      </c>
      <c r="B14" s="20" t="s">
        <v>164</v>
      </c>
      <c r="C14" s="20"/>
      <c r="D14" s="20"/>
      <c r="E14" s="16">
        <v>1</v>
      </c>
      <c r="F14" s="17" t="s">
        <v>57</v>
      </c>
      <c r="G14" s="37">
        <v>45903</v>
      </c>
      <c r="H14" s="37">
        <v>45910</v>
      </c>
      <c r="I14" s="19"/>
      <c r="J14" s="22"/>
      <c r="K14" s="23"/>
      <c r="L14" s="23"/>
    </row>
    <row r="15" spans="1:12">
      <c r="A15" s="12">
        <v>7</v>
      </c>
      <c r="B15" s="20" t="s">
        <v>165</v>
      </c>
      <c r="C15" s="20"/>
      <c r="D15" s="20"/>
      <c r="E15" s="16">
        <v>1</v>
      </c>
      <c r="F15" s="20" t="s">
        <v>56</v>
      </c>
      <c r="G15" s="37">
        <v>45903</v>
      </c>
      <c r="H15" s="37">
        <v>45910</v>
      </c>
      <c r="I15" s="19"/>
      <c r="J15" s="20"/>
      <c r="K15" s="20"/>
      <c r="L15" s="20"/>
    </row>
    <row r="16" spans="1:12">
      <c r="A16" s="12">
        <v>8</v>
      </c>
      <c r="B16" s="20" t="s">
        <v>166</v>
      </c>
      <c r="C16" s="20"/>
      <c r="D16" s="20"/>
      <c r="E16" s="16" t="s">
        <v>58</v>
      </c>
      <c r="F16" s="17" t="s">
        <v>59</v>
      </c>
      <c r="G16" s="37">
        <v>45903</v>
      </c>
      <c r="H16" s="37">
        <v>45910</v>
      </c>
      <c r="I16" s="19"/>
      <c r="J16" s="22"/>
      <c r="K16" s="23"/>
      <c r="L16" s="23"/>
    </row>
    <row r="17" spans="1:12">
      <c r="A17" s="12">
        <v>9</v>
      </c>
      <c r="B17" s="20" t="s">
        <v>167</v>
      </c>
      <c r="C17" s="20"/>
      <c r="D17" s="20"/>
      <c r="E17" s="17">
        <v>2</v>
      </c>
      <c r="F17" s="17" t="s">
        <v>62</v>
      </c>
      <c r="G17" s="37">
        <v>45903</v>
      </c>
      <c r="H17" s="37">
        <v>45910</v>
      </c>
      <c r="I17" s="19"/>
      <c r="J17" s="22"/>
      <c r="K17" s="23"/>
      <c r="L17" s="23"/>
    </row>
    <row r="18" spans="1:12">
      <c r="A18" s="12">
        <v>10</v>
      </c>
      <c r="B18" s="20" t="s">
        <v>168</v>
      </c>
      <c r="C18" s="20"/>
      <c r="D18" s="20"/>
      <c r="E18" s="17" t="s">
        <v>108</v>
      </c>
      <c r="F18" s="17" t="s">
        <v>57</v>
      </c>
      <c r="G18" s="37">
        <v>45903</v>
      </c>
      <c r="H18" s="37">
        <v>45910</v>
      </c>
      <c r="I18" s="19"/>
      <c r="J18" s="20"/>
      <c r="K18" s="20"/>
      <c r="L18" s="20"/>
    </row>
    <row r="19" spans="1:12">
      <c r="A19" s="12">
        <v>11</v>
      </c>
      <c r="B19" s="20" t="s">
        <v>169</v>
      </c>
      <c r="C19" s="20"/>
      <c r="D19" s="20"/>
      <c r="E19" s="16" t="s">
        <v>58</v>
      </c>
      <c r="F19" s="17" t="s">
        <v>59</v>
      </c>
      <c r="G19" s="37">
        <v>45903</v>
      </c>
      <c r="H19" s="37">
        <v>45910</v>
      </c>
      <c r="I19" s="19"/>
      <c r="J19" s="22"/>
      <c r="K19" s="20"/>
      <c r="L19" s="20"/>
    </row>
    <row r="20" spans="1:12">
      <c r="A20" s="12">
        <v>12</v>
      </c>
      <c r="B20" s="20" t="s">
        <v>170</v>
      </c>
      <c r="C20" s="20"/>
      <c r="D20" s="20"/>
      <c r="E20" s="16">
        <v>1</v>
      </c>
      <c r="F20" s="20" t="s">
        <v>60</v>
      </c>
      <c r="G20" s="37">
        <v>45903</v>
      </c>
      <c r="H20" s="37">
        <v>45910</v>
      </c>
      <c r="I20" s="19"/>
      <c r="J20" s="22"/>
      <c r="K20" s="23"/>
      <c r="L20" s="23"/>
    </row>
    <row r="21" spans="1:12" ht="13.5" customHeight="1">
      <c r="A21" s="12">
        <v>13</v>
      </c>
      <c r="B21" s="20" t="s">
        <v>171</v>
      </c>
      <c r="C21" s="20"/>
      <c r="D21" s="20"/>
      <c r="E21" s="16" t="s">
        <v>58</v>
      </c>
      <c r="F21" s="17" t="s">
        <v>59</v>
      </c>
      <c r="G21" s="37">
        <v>45903</v>
      </c>
      <c r="H21" s="37">
        <v>45910</v>
      </c>
      <c r="I21" s="19"/>
      <c r="J21" s="22"/>
      <c r="K21" s="23"/>
      <c r="L21" s="23"/>
    </row>
    <row r="22" spans="1:12">
      <c r="A22" s="12">
        <v>14</v>
      </c>
      <c r="B22" s="20" t="s">
        <v>172</v>
      </c>
      <c r="C22" s="20"/>
      <c r="D22" s="20"/>
      <c r="E22" s="17">
        <v>1</v>
      </c>
      <c r="F22" s="17" t="s">
        <v>57</v>
      </c>
      <c r="G22" s="37">
        <v>45903</v>
      </c>
      <c r="H22" s="37">
        <v>45910</v>
      </c>
      <c r="I22" s="19"/>
      <c r="J22" s="20"/>
      <c r="K22" s="20"/>
      <c r="L22" s="20"/>
    </row>
    <row r="23" spans="1:12">
      <c r="A23" s="12">
        <v>15</v>
      </c>
      <c r="B23" s="20" t="s">
        <v>173</v>
      </c>
      <c r="C23" s="21"/>
      <c r="D23" s="17"/>
      <c r="E23" s="17" t="s">
        <v>90</v>
      </c>
      <c r="F23" s="17" t="s">
        <v>59</v>
      </c>
      <c r="G23" s="37">
        <v>45903</v>
      </c>
      <c r="H23" s="37">
        <v>45910</v>
      </c>
      <c r="I23" s="19"/>
      <c r="J23" s="20"/>
      <c r="K23" s="20"/>
      <c r="L23" s="20"/>
    </row>
    <row r="24" spans="1:12">
      <c r="A24" s="12">
        <v>16</v>
      </c>
      <c r="B24" s="20" t="s">
        <v>174</v>
      </c>
      <c r="C24" s="20"/>
      <c r="D24" s="20"/>
      <c r="E24" s="17">
        <v>1</v>
      </c>
      <c r="F24" s="17" t="s">
        <v>57</v>
      </c>
      <c r="G24" s="37">
        <v>45903</v>
      </c>
      <c r="H24" s="37">
        <v>45910</v>
      </c>
      <c r="I24" s="19"/>
      <c r="J24" s="22"/>
      <c r="K24" s="23"/>
      <c r="L24" s="23"/>
    </row>
    <row r="25" spans="1:12">
      <c r="A25" s="12">
        <v>17</v>
      </c>
      <c r="B25" s="20" t="s">
        <v>175</v>
      </c>
      <c r="C25" s="20"/>
      <c r="D25" s="20"/>
      <c r="E25" s="16">
        <v>1</v>
      </c>
      <c r="F25" s="17" t="s">
        <v>57</v>
      </c>
      <c r="G25" s="37">
        <v>45903</v>
      </c>
      <c r="H25" s="37">
        <v>45910</v>
      </c>
      <c r="I25" s="19"/>
      <c r="J25" s="22"/>
      <c r="K25" s="23"/>
      <c r="L25" s="23"/>
    </row>
    <row r="26" spans="1:12">
      <c r="A26" s="12">
        <v>18</v>
      </c>
      <c r="B26" s="20" t="s">
        <v>176</v>
      </c>
      <c r="C26" s="21"/>
      <c r="D26" s="17"/>
      <c r="E26" s="17">
        <v>1</v>
      </c>
      <c r="F26" s="17" t="s">
        <v>57</v>
      </c>
      <c r="G26" s="37">
        <v>45903</v>
      </c>
      <c r="H26" s="37">
        <v>45910</v>
      </c>
      <c r="I26" s="19"/>
      <c r="J26" s="22"/>
      <c r="K26" s="23"/>
      <c r="L26" s="23"/>
    </row>
    <row r="27" spans="1:12">
      <c r="A27" s="12">
        <v>19</v>
      </c>
      <c r="B27" s="20" t="s">
        <v>177</v>
      </c>
      <c r="C27" s="20"/>
      <c r="D27" s="20"/>
      <c r="E27" s="16" t="s">
        <v>58</v>
      </c>
      <c r="F27" s="17" t="s">
        <v>59</v>
      </c>
      <c r="G27" s="37">
        <v>45903</v>
      </c>
      <c r="H27" s="37">
        <v>45910</v>
      </c>
      <c r="I27" s="19"/>
      <c r="J27" s="20"/>
      <c r="K27" s="20"/>
      <c r="L27" s="20"/>
    </row>
    <row r="28" spans="1:12">
      <c r="A28" s="12">
        <v>20</v>
      </c>
      <c r="B28" s="20" t="s">
        <v>178</v>
      </c>
      <c r="C28" s="20"/>
      <c r="D28" s="20"/>
      <c r="E28" s="17">
        <v>1</v>
      </c>
      <c r="F28" s="17" t="s">
        <v>60</v>
      </c>
      <c r="G28" s="37">
        <v>45903</v>
      </c>
      <c r="H28" s="37">
        <v>45910</v>
      </c>
      <c r="I28" s="19"/>
      <c r="J28" s="22"/>
      <c r="K28" s="23"/>
      <c r="L28" s="23"/>
    </row>
    <row r="29" spans="1:12">
      <c r="A29" s="12">
        <v>21</v>
      </c>
      <c r="B29" s="20" t="s">
        <v>179</v>
      </c>
      <c r="C29" s="20"/>
      <c r="D29" s="20"/>
      <c r="E29" s="16">
        <v>1</v>
      </c>
      <c r="F29" s="17" t="s">
        <v>57</v>
      </c>
      <c r="G29" s="37">
        <v>45903</v>
      </c>
      <c r="H29" s="37">
        <v>45910</v>
      </c>
      <c r="I29" s="19"/>
      <c r="J29" s="22"/>
      <c r="K29" s="23"/>
      <c r="L29" s="23"/>
    </row>
    <row r="30" spans="1:12">
      <c r="A30" s="12">
        <v>22</v>
      </c>
      <c r="B30" s="20" t="s">
        <v>180</v>
      </c>
      <c r="C30" s="20"/>
      <c r="D30" s="20"/>
      <c r="E30" s="17">
        <v>1</v>
      </c>
      <c r="F30" s="17" t="s">
        <v>57</v>
      </c>
      <c r="G30" s="37">
        <v>45903</v>
      </c>
      <c r="H30" s="37">
        <v>45910</v>
      </c>
      <c r="I30" s="19"/>
      <c r="J30" s="20"/>
      <c r="K30" s="20"/>
      <c r="L30" s="20"/>
    </row>
    <row r="31" spans="1:12">
      <c r="A31" s="12">
        <v>23</v>
      </c>
      <c r="B31" s="20" t="s">
        <v>181</v>
      </c>
      <c r="C31" s="20"/>
      <c r="D31" s="20"/>
      <c r="E31" s="17">
        <v>1</v>
      </c>
      <c r="F31" s="17" t="s">
        <v>60</v>
      </c>
      <c r="G31" s="37">
        <v>45903</v>
      </c>
      <c r="H31" s="37">
        <v>45910</v>
      </c>
      <c r="I31" s="19"/>
      <c r="J31" s="22"/>
      <c r="K31" s="23"/>
      <c r="L31" s="23"/>
    </row>
    <row r="32" spans="1:12">
      <c r="A32" s="12">
        <v>24</v>
      </c>
      <c r="B32" s="20" t="s">
        <v>182</v>
      </c>
      <c r="C32" s="20"/>
      <c r="D32" s="20"/>
      <c r="E32" s="16">
        <v>1</v>
      </c>
      <c r="F32" s="17" t="s">
        <v>57</v>
      </c>
      <c r="G32" s="37">
        <v>45903</v>
      </c>
      <c r="H32" s="37">
        <v>45910</v>
      </c>
      <c r="I32" s="19"/>
      <c r="J32" s="20"/>
      <c r="K32" s="20"/>
      <c r="L32" s="20"/>
    </row>
    <row r="33" spans="1:12">
      <c r="A33" s="12">
        <v>25</v>
      </c>
      <c r="B33" s="20" t="s">
        <v>183</v>
      </c>
      <c r="C33" s="20"/>
      <c r="D33" s="20"/>
      <c r="E33" s="17">
        <v>1</v>
      </c>
      <c r="F33" s="17" t="s">
        <v>57</v>
      </c>
      <c r="G33" s="37">
        <v>45903</v>
      </c>
      <c r="H33" s="37">
        <v>45910</v>
      </c>
      <c r="I33" s="19"/>
      <c r="J33" s="20"/>
      <c r="K33" s="20"/>
      <c r="L33" s="20"/>
    </row>
    <row r="34" spans="1:12">
      <c r="A34" s="12">
        <v>26</v>
      </c>
      <c r="B34" s="20" t="s">
        <v>184</v>
      </c>
      <c r="C34" s="20"/>
      <c r="D34" s="20"/>
      <c r="E34" s="17">
        <v>3</v>
      </c>
      <c r="F34" s="17" t="s">
        <v>57</v>
      </c>
      <c r="G34" s="37">
        <v>45903</v>
      </c>
      <c r="H34" s="37">
        <v>45910</v>
      </c>
      <c r="I34" s="19"/>
      <c r="J34" s="20"/>
      <c r="K34" s="20"/>
      <c r="L34" s="20"/>
    </row>
    <row r="35" spans="1:12">
      <c r="A35" s="12">
        <v>27</v>
      </c>
      <c r="B35" s="20" t="s">
        <v>185</v>
      </c>
      <c r="C35" s="20"/>
      <c r="D35" s="20"/>
      <c r="E35" s="17">
        <v>1</v>
      </c>
      <c r="F35" s="17" t="s">
        <v>57</v>
      </c>
      <c r="G35" s="37">
        <v>45903</v>
      </c>
      <c r="H35" s="37">
        <v>45910</v>
      </c>
      <c r="I35" s="19"/>
      <c r="J35" s="20"/>
      <c r="K35" s="20"/>
      <c r="L35" s="20"/>
    </row>
    <row r="36" spans="1:12">
      <c r="A36" s="12">
        <v>28</v>
      </c>
      <c r="B36" s="20" t="s">
        <v>186</v>
      </c>
      <c r="C36" s="20"/>
      <c r="D36" s="20"/>
      <c r="E36" s="17">
        <v>3</v>
      </c>
      <c r="F36" s="17" t="s">
        <v>57</v>
      </c>
      <c r="G36" s="37">
        <v>45903</v>
      </c>
      <c r="H36" s="37">
        <v>45910</v>
      </c>
      <c r="I36" s="19"/>
      <c r="J36" s="20"/>
      <c r="K36" s="20"/>
      <c r="L36" s="20"/>
    </row>
    <row r="37" spans="1:12">
      <c r="A37" s="12">
        <v>29</v>
      </c>
      <c r="B37" s="20" t="s">
        <v>187</v>
      </c>
      <c r="C37" s="20"/>
      <c r="D37" s="20"/>
      <c r="E37" s="16">
        <v>1</v>
      </c>
      <c r="F37" s="17" t="s">
        <v>57</v>
      </c>
      <c r="G37" s="37">
        <v>45903</v>
      </c>
      <c r="H37" s="37">
        <v>45910</v>
      </c>
      <c r="I37" s="19"/>
      <c r="J37" s="20"/>
      <c r="K37" s="20"/>
      <c r="L37" s="20"/>
    </row>
    <row r="38" spans="1:12">
      <c r="A38" s="12">
        <v>30</v>
      </c>
      <c r="B38" s="20" t="s">
        <v>188</v>
      </c>
      <c r="C38" s="20"/>
      <c r="D38" s="20"/>
      <c r="E38" s="17" t="s">
        <v>58</v>
      </c>
      <c r="F38" s="17" t="s">
        <v>59</v>
      </c>
      <c r="G38" s="37">
        <v>45903</v>
      </c>
      <c r="H38" s="37">
        <v>45910</v>
      </c>
      <c r="I38" s="19"/>
      <c r="J38" s="20"/>
      <c r="K38" s="20"/>
      <c r="L38" s="20"/>
    </row>
    <row r="39" spans="1:12">
      <c r="A39" s="12">
        <v>31</v>
      </c>
      <c r="B39" s="20" t="s">
        <v>189</v>
      </c>
      <c r="C39" s="21"/>
      <c r="D39" s="17"/>
      <c r="E39" s="17">
        <v>8</v>
      </c>
      <c r="F39" s="17" t="s">
        <v>59</v>
      </c>
      <c r="G39" s="37">
        <v>45903</v>
      </c>
      <c r="H39" s="37">
        <v>45910</v>
      </c>
      <c r="I39" s="19"/>
      <c r="J39" s="20"/>
      <c r="K39" s="20"/>
      <c r="L39" s="20"/>
    </row>
    <row r="40" spans="1:12">
      <c r="A40" s="12">
        <v>32</v>
      </c>
      <c r="B40" s="20" t="s">
        <v>190</v>
      </c>
      <c r="C40" s="21"/>
      <c r="D40" s="17"/>
      <c r="E40" s="17" t="s">
        <v>90</v>
      </c>
      <c r="F40" s="17" t="s">
        <v>59</v>
      </c>
      <c r="G40" s="37">
        <v>45903</v>
      </c>
      <c r="H40" s="37">
        <v>45910</v>
      </c>
      <c r="I40" s="19"/>
      <c r="J40" s="20"/>
      <c r="K40" s="20"/>
      <c r="L40" s="20"/>
    </row>
    <row r="41" spans="1:12">
      <c r="A41" s="12">
        <v>33</v>
      </c>
      <c r="B41" s="20" t="s">
        <v>191</v>
      </c>
      <c r="C41" s="20"/>
      <c r="D41" s="20"/>
      <c r="E41" s="17" t="s">
        <v>90</v>
      </c>
      <c r="F41" s="17" t="s">
        <v>59</v>
      </c>
      <c r="G41" s="37">
        <v>45903</v>
      </c>
      <c r="H41" s="37">
        <v>45910</v>
      </c>
      <c r="I41" s="19"/>
      <c r="J41" s="20"/>
      <c r="K41" s="20"/>
      <c r="L41" s="20"/>
    </row>
    <row r="42" spans="1:12">
      <c r="A42" s="12">
        <v>34</v>
      </c>
      <c r="B42" s="20" t="s">
        <v>192</v>
      </c>
      <c r="C42" s="20"/>
      <c r="D42" s="20"/>
      <c r="E42" s="17">
        <v>3</v>
      </c>
      <c r="F42" s="17" t="s">
        <v>57</v>
      </c>
      <c r="G42" s="37">
        <v>45903</v>
      </c>
      <c r="H42" s="37">
        <v>45910</v>
      </c>
      <c r="I42" s="19"/>
      <c r="J42" s="20"/>
      <c r="K42" s="20"/>
      <c r="L42" s="20"/>
    </row>
    <row r="43" spans="1:12">
      <c r="A43" s="12">
        <v>35</v>
      </c>
      <c r="B43" s="20" t="s">
        <v>193</v>
      </c>
      <c r="C43" s="21"/>
      <c r="D43" s="17"/>
      <c r="E43" s="16">
        <v>2</v>
      </c>
      <c r="F43" s="17" t="s">
        <v>59</v>
      </c>
      <c r="G43" s="37">
        <v>45903</v>
      </c>
      <c r="H43" s="37">
        <v>45910</v>
      </c>
      <c r="I43" s="19"/>
      <c r="J43" s="20"/>
      <c r="K43" s="20"/>
      <c r="L43" s="20"/>
    </row>
    <row r="44" spans="1:12">
      <c r="A44" s="12">
        <v>36</v>
      </c>
      <c r="B44" s="20" t="s">
        <v>194</v>
      </c>
      <c r="C44" s="20"/>
      <c r="D44" s="20"/>
      <c r="E44" s="17" t="s">
        <v>90</v>
      </c>
      <c r="F44" s="17" t="s">
        <v>59</v>
      </c>
      <c r="G44" s="37">
        <v>45903</v>
      </c>
      <c r="H44" s="37">
        <v>45910</v>
      </c>
      <c r="I44" s="19"/>
      <c r="J44" s="20"/>
      <c r="K44" s="20"/>
      <c r="L44" s="20"/>
    </row>
    <row r="45" spans="1:12">
      <c r="A45" s="12">
        <v>37</v>
      </c>
      <c r="B45" s="20" t="s">
        <v>195</v>
      </c>
      <c r="C45" s="14"/>
      <c r="D45" s="15"/>
      <c r="E45" s="16">
        <v>1</v>
      </c>
      <c r="F45" s="17" t="s">
        <v>62</v>
      </c>
      <c r="G45" s="37">
        <v>45903</v>
      </c>
      <c r="H45" s="37">
        <v>45910</v>
      </c>
      <c r="I45" s="19"/>
      <c r="J45" s="20"/>
      <c r="K45" s="20"/>
      <c r="L45" s="20"/>
    </row>
    <row r="46" spans="1:12">
      <c r="A46" s="12">
        <v>38</v>
      </c>
      <c r="B46" s="20" t="s">
        <v>196</v>
      </c>
      <c r="C46" s="14"/>
      <c r="D46" s="17"/>
      <c r="E46" s="16">
        <v>2</v>
      </c>
      <c r="F46" s="17" t="s">
        <v>62</v>
      </c>
      <c r="G46" s="37">
        <v>45903</v>
      </c>
      <c r="H46" s="37">
        <v>45910</v>
      </c>
      <c r="I46" s="19"/>
      <c r="J46" s="20"/>
      <c r="K46" s="20"/>
      <c r="L46" s="20"/>
    </row>
    <row r="47" spans="1:12">
      <c r="A47" s="12">
        <v>39</v>
      </c>
      <c r="B47" s="20" t="s">
        <v>197</v>
      </c>
      <c r="C47" s="20"/>
      <c r="D47" s="20"/>
      <c r="E47" s="17" t="s">
        <v>90</v>
      </c>
      <c r="F47" s="17" t="s">
        <v>59</v>
      </c>
      <c r="G47" s="37">
        <v>45903</v>
      </c>
      <c r="H47" s="37">
        <v>45910</v>
      </c>
      <c r="I47" s="19"/>
      <c r="J47" s="20"/>
      <c r="K47" s="20"/>
      <c r="L47" s="20"/>
    </row>
    <row r="48" spans="1:12">
      <c r="A48" s="12">
        <v>40</v>
      </c>
      <c r="B48" s="20" t="s">
        <v>198</v>
      </c>
      <c r="C48" s="20"/>
      <c r="D48" s="20"/>
      <c r="E48" s="17">
        <v>1</v>
      </c>
      <c r="F48" s="17" t="s">
        <v>56</v>
      </c>
      <c r="G48" s="37">
        <v>45903</v>
      </c>
      <c r="H48" s="37">
        <v>45910</v>
      </c>
      <c r="I48" s="19"/>
      <c r="J48" s="20"/>
      <c r="K48" s="20"/>
      <c r="L48" s="20"/>
    </row>
  </sheetData>
  <sortState ref="B9:I56">
    <sortCondition ref="B9"/>
  </sortState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48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41"/>
  <sheetViews>
    <sheetView topLeftCell="A4" zoomScale="98" zoomScaleNormal="45" workbookViewId="0">
      <selection activeCell="B9" sqref="B9:B41"/>
    </sheetView>
  </sheetViews>
  <sheetFormatPr defaultRowHeight="13.8"/>
  <cols>
    <col min="1" max="1" width="4.09765625" customWidth="1"/>
    <col min="2" max="2" width="23.3984375" customWidth="1"/>
    <col min="3" max="3" width="13.3984375" customWidth="1"/>
    <col min="4" max="4" width="7.3984375" customWidth="1"/>
    <col min="5" max="5" width="6.3984375" customWidth="1"/>
    <col min="6" max="6" width="15.5" customWidth="1"/>
    <col min="7" max="7" width="10.8984375" customWidth="1"/>
    <col min="8" max="8" width="11.19921875" customWidth="1"/>
    <col min="9" max="9" width="7.19921875" customWidth="1"/>
  </cols>
  <sheetData>
    <row r="1" spans="1:12" ht="22.2">
      <c r="A1" s="58">
        <v>45911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2">
      <c r="A2" s="59"/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63"/>
      <c r="L3" s="63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63"/>
      <c r="L4" s="63"/>
    </row>
    <row r="5" spans="1:12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63"/>
      <c r="L5" s="63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63"/>
      <c r="L6" s="63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63"/>
      <c r="L7" s="63"/>
    </row>
    <row r="8" spans="1:12" ht="55.2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2">
      <c r="A9" s="12">
        <v>1</v>
      </c>
      <c r="B9" s="20" t="s">
        <v>159</v>
      </c>
      <c r="C9" s="20"/>
      <c r="D9" s="20"/>
      <c r="E9" s="17">
        <v>1</v>
      </c>
      <c r="F9" s="37" t="s">
        <v>57</v>
      </c>
      <c r="G9" s="37">
        <v>45904</v>
      </c>
      <c r="H9" s="37">
        <v>45911</v>
      </c>
      <c r="I9" s="19"/>
      <c r="J9" s="20"/>
      <c r="K9" s="20"/>
      <c r="L9" s="20"/>
    </row>
    <row r="10" spans="1:12">
      <c r="A10" s="12">
        <v>2</v>
      </c>
      <c r="B10" s="20" t="s">
        <v>160</v>
      </c>
      <c r="C10" s="20"/>
      <c r="D10" s="20"/>
      <c r="E10" s="17">
        <v>1</v>
      </c>
      <c r="F10" s="37" t="s">
        <v>62</v>
      </c>
      <c r="G10" s="37">
        <v>45904</v>
      </c>
      <c r="H10" s="37">
        <v>45911</v>
      </c>
      <c r="I10" s="19"/>
      <c r="J10" s="20"/>
      <c r="K10" s="23"/>
      <c r="L10" s="23"/>
    </row>
    <row r="11" spans="1:12">
      <c r="A11" s="12">
        <v>3</v>
      </c>
      <c r="B11" s="20" t="s">
        <v>161</v>
      </c>
      <c r="C11" s="20"/>
      <c r="D11" s="20"/>
      <c r="E11" s="17">
        <v>1</v>
      </c>
      <c r="F11" s="17" t="s">
        <v>60</v>
      </c>
      <c r="G11" s="37">
        <v>45904</v>
      </c>
      <c r="H11" s="37">
        <v>45911</v>
      </c>
      <c r="I11" s="19"/>
      <c r="J11" s="22"/>
      <c r="K11" s="20"/>
      <c r="L11" s="20"/>
    </row>
    <row r="12" spans="1:12">
      <c r="A12" s="12">
        <v>4</v>
      </c>
      <c r="B12" s="20" t="s">
        <v>162</v>
      </c>
      <c r="C12" s="20"/>
      <c r="D12" s="20"/>
      <c r="E12" s="17" t="s">
        <v>58</v>
      </c>
      <c r="F12" s="37" t="s">
        <v>129</v>
      </c>
      <c r="G12" s="37">
        <v>45904</v>
      </c>
      <c r="H12" s="37">
        <v>45911</v>
      </c>
      <c r="I12" s="19"/>
      <c r="J12" s="20"/>
      <c r="K12" s="20"/>
      <c r="L12" s="20"/>
    </row>
    <row r="13" spans="1:12">
      <c r="A13" s="12">
        <v>5</v>
      </c>
      <c r="B13" s="20" t="s">
        <v>163</v>
      </c>
      <c r="C13" s="20"/>
      <c r="D13" s="20"/>
      <c r="E13" s="17" t="s">
        <v>58</v>
      </c>
      <c r="F13" s="37" t="s">
        <v>59</v>
      </c>
      <c r="G13" s="37">
        <v>45904</v>
      </c>
      <c r="H13" s="37">
        <v>45911</v>
      </c>
      <c r="I13" s="19"/>
      <c r="J13" s="22"/>
      <c r="K13" s="23"/>
      <c r="L13" s="23"/>
    </row>
    <row r="14" spans="1:12">
      <c r="A14" s="12">
        <v>6</v>
      </c>
      <c r="B14" s="20" t="s">
        <v>164</v>
      </c>
      <c r="C14" s="14"/>
      <c r="D14" s="17"/>
      <c r="E14" s="17">
        <v>1</v>
      </c>
      <c r="F14" s="17" t="s">
        <v>57</v>
      </c>
      <c r="G14" s="37">
        <v>45904</v>
      </c>
      <c r="H14" s="37">
        <v>45911</v>
      </c>
      <c r="I14" s="19"/>
      <c r="J14" s="22"/>
      <c r="K14" s="23"/>
      <c r="L14" s="23"/>
    </row>
    <row r="15" spans="1:12">
      <c r="A15" s="12">
        <v>7</v>
      </c>
      <c r="B15" s="20" t="s">
        <v>165</v>
      </c>
      <c r="C15" s="14"/>
      <c r="D15" s="15"/>
      <c r="E15" s="16">
        <v>1</v>
      </c>
      <c r="F15" s="37" t="s">
        <v>62</v>
      </c>
      <c r="G15" s="37">
        <v>45904</v>
      </c>
      <c r="H15" s="37">
        <v>45911</v>
      </c>
      <c r="I15" s="19"/>
      <c r="J15" s="20"/>
      <c r="K15" s="20"/>
      <c r="L15" s="20"/>
    </row>
    <row r="16" spans="1:12">
      <c r="A16" s="12">
        <v>8</v>
      </c>
      <c r="B16" s="20" t="s">
        <v>166</v>
      </c>
      <c r="C16" s="14"/>
      <c r="D16" s="17"/>
      <c r="E16" s="16">
        <v>2</v>
      </c>
      <c r="F16" s="37" t="s">
        <v>62</v>
      </c>
      <c r="G16" s="37">
        <v>45904</v>
      </c>
      <c r="H16" s="37">
        <v>45911</v>
      </c>
      <c r="I16" s="19"/>
      <c r="J16" s="22"/>
      <c r="K16" s="23"/>
      <c r="L16" s="23"/>
    </row>
    <row r="17" spans="1:12">
      <c r="A17" s="12">
        <v>9</v>
      </c>
      <c r="B17" s="20" t="s">
        <v>167</v>
      </c>
      <c r="C17" s="20"/>
      <c r="D17" s="20"/>
      <c r="E17" s="17">
        <v>1</v>
      </c>
      <c r="F17" s="37" t="s">
        <v>57</v>
      </c>
      <c r="G17" s="37">
        <v>45904</v>
      </c>
      <c r="H17" s="37">
        <v>45911</v>
      </c>
      <c r="I17" s="19"/>
      <c r="J17" s="20"/>
      <c r="K17" s="23"/>
      <c r="L17" s="23"/>
    </row>
    <row r="18" spans="1:12">
      <c r="A18" s="12">
        <v>10</v>
      </c>
      <c r="B18" s="20" t="s">
        <v>168</v>
      </c>
      <c r="C18" s="46"/>
      <c r="D18" s="20"/>
      <c r="E18" s="17">
        <v>1</v>
      </c>
      <c r="F18" s="37" t="s">
        <v>62</v>
      </c>
      <c r="G18" s="37">
        <v>45904</v>
      </c>
      <c r="H18" s="37">
        <v>45911</v>
      </c>
      <c r="I18" s="19"/>
      <c r="J18" s="22"/>
      <c r="K18" s="20"/>
      <c r="L18" s="20"/>
    </row>
    <row r="19" spans="1:12">
      <c r="A19" s="12">
        <v>11</v>
      </c>
      <c r="B19" s="20" t="s">
        <v>169</v>
      </c>
      <c r="C19" s="20"/>
      <c r="D19" s="20"/>
      <c r="E19" s="17">
        <v>1</v>
      </c>
      <c r="F19" s="37" t="s">
        <v>57</v>
      </c>
      <c r="G19" s="37">
        <v>45904</v>
      </c>
      <c r="H19" s="37">
        <v>45911</v>
      </c>
      <c r="I19" s="19"/>
      <c r="J19" s="20"/>
      <c r="K19" s="20"/>
      <c r="L19" s="20"/>
    </row>
    <row r="20" spans="1:12">
      <c r="A20" s="12">
        <v>12</v>
      </c>
      <c r="B20" s="20" t="s">
        <v>170</v>
      </c>
      <c r="C20" s="21"/>
      <c r="D20" s="17"/>
      <c r="E20" s="17">
        <v>1</v>
      </c>
      <c r="F20" s="17" t="s">
        <v>60</v>
      </c>
      <c r="G20" s="37">
        <v>45904</v>
      </c>
      <c r="H20" s="37">
        <v>45911</v>
      </c>
      <c r="I20" s="19"/>
      <c r="J20" s="20"/>
      <c r="K20" s="23"/>
      <c r="L20" s="23"/>
    </row>
    <row r="21" spans="1:12">
      <c r="A21" s="12">
        <v>13</v>
      </c>
      <c r="B21" s="20" t="s">
        <v>171</v>
      </c>
      <c r="C21" s="21"/>
      <c r="D21" s="17"/>
      <c r="E21" s="16">
        <v>1</v>
      </c>
      <c r="F21" s="37" t="s">
        <v>57</v>
      </c>
      <c r="G21" s="37">
        <v>45904</v>
      </c>
      <c r="H21" s="37">
        <v>45911</v>
      </c>
      <c r="I21" s="19"/>
      <c r="J21" s="20"/>
      <c r="K21" s="23"/>
      <c r="L21" s="23"/>
    </row>
    <row r="22" spans="1:12">
      <c r="A22" s="12">
        <v>14</v>
      </c>
      <c r="B22" s="20" t="s">
        <v>172</v>
      </c>
      <c r="C22" s="21"/>
      <c r="D22" s="17"/>
      <c r="E22" s="16">
        <v>1</v>
      </c>
      <c r="F22" s="37" t="s">
        <v>57</v>
      </c>
      <c r="G22" s="37">
        <v>45904</v>
      </c>
      <c r="H22" s="37">
        <v>45911</v>
      </c>
      <c r="I22" s="19"/>
      <c r="J22" s="22"/>
      <c r="K22" s="20"/>
      <c r="L22" s="20"/>
    </row>
    <row r="23" spans="1:12">
      <c r="A23" s="12">
        <v>15</v>
      </c>
      <c r="B23" s="20" t="s">
        <v>173</v>
      </c>
      <c r="C23" s="21"/>
      <c r="D23" s="17"/>
      <c r="E23" s="17">
        <v>1</v>
      </c>
      <c r="F23" s="17" t="s">
        <v>57</v>
      </c>
      <c r="G23" s="37">
        <v>45904</v>
      </c>
      <c r="H23" s="37">
        <v>45911</v>
      </c>
      <c r="I23" s="19"/>
      <c r="J23" s="22"/>
      <c r="K23" s="20"/>
      <c r="L23" s="20"/>
    </row>
    <row r="24" spans="1:12">
      <c r="A24" s="12">
        <v>16</v>
      </c>
      <c r="B24" s="20" t="s">
        <v>174</v>
      </c>
      <c r="C24" s="20"/>
      <c r="D24" s="20"/>
      <c r="E24" s="17">
        <v>1</v>
      </c>
      <c r="F24" s="37" t="s">
        <v>62</v>
      </c>
      <c r="G24" s="37">
        <v>45904</v>
      </c>
      <c r="H24" s="37">
        <v>45911</v>
      </c>
      <c r="I24" s="19"/>
      <c r="J24" s="20"/>
      <c r="K24" s="23"/>
      <c r="L24" s="23"/>
    </row>
    <row r="25" spans="1:12">
      <c r="A25" s="12">
        <v>17</v>
      </c>
      <c r="B25" s="20" t="s">
        <v>175</v>
      </c>
      <c r="C25" s="20"/>
      <c r="D25" s="20"/>
      <c r="E25" s="17">
        <v>2</v>
      </c>
      <c r="F25" s="37" t="s">
        <v>62</v>
      </c>
      <c r="G25" s="37">
        <v>45904</v>
      </c>
      <c r="H25" s="37">
        <v>45911</v>
      </c>
      <c r="I25" s="19"/>
      <c r="J25" s="22"/>
      <c r="K25" s="23"/>
      <c r="L25" s="23"/>
    </row>
    <row r="26" spans="1:12">
      <c r="A26" s="12">
        <v>18</v>
      </c>
      <c r="B26" s="20" t="s">
        <v>176</v>
      </c>
      <c r="C26" s="21"/>
      <c r="D26" s="17"/>
      <c r="E26" s="16">
        <v>2</v>
      </c>
      <c r="F26" s="37" t="s">
        <v>62</v>
      </c>
      <c r="G26" s="37">
        <v>45904</v>
      </c>
      <c r="H26" s="37">
        <v>45911</v>
      </c>
      <c r="I26" s="19"/>
      <c r="J26" s="22"/>
      <c r="K26" s="23"/>
      <c r="L26" s="23"/>
    </row>
    <row r="27" spans="1:12">
      <c r="A27" s="12">
        <v>19</v>
      </c>
      <c r="B27" s="20" t="s">
        <v>177</v>
      </c>
      <c r="C27" s="20"/>
      <c r="D27" s="17"/>
      <c r="E27" s="17">
        <v>1</v>
      </c>
      <c r="F27" s="37" t="s">
        <v>62</v>
      </c>
      <c r="G27" s="18">
        <v>45904</v>
      </c>
      <c r="H27" s="18">
        <v>45911</v>
      </c>
      <c r="I27" s="19"/>
      <c r="J27" s="20"/>
      <c r="K27" s="20"/>
      <c r="L27" s="20"/>
    </row>
    <row r="28" spans="1:12">
      <c r="A28" s="12">
        <v>20</v>
      </c>
      <c r="B28" s="20" t="s">
        <v>178</v>
      </c>
      <c r="C28" s="20"/>
      <c r="D28" s="20"/>
      <c r="E28" s="17">
        <v>3</v>
      </c>
      <c r="F28" s="37" t="s">
        <v>57</v>
      </c>
      <c r="G28" s="37">
        <v>45904</v>
      </c>
      <c r="H28" s="37">
        <v>45911</v>
      </c>
      <c r="I28" s="19"/>
      <c r="J28" s="22"/>
      <c r="K28" s="23"/>
      <c r="L28" s="23"/>
    </row>
    <row r="29" spans="1:12">
      <c r="A29" s="12">
        <v>21</v>
      </c>
      <c r="B29" s="20" t="s">
        <v>179</v>
      </c>
      <c r="C29" s="21"/>
      <c r="D29" s="17"/>
      <c r="E29" s="16">
        <v>2</v>
      </c>
      <c r="F29" s="17" t="s">
        <v>62</v>
      </c>
      <c r="G29" s="18">
        <v>45904</v>
      </c>
      <c r="H29" s="18">
        <v>45911</v>
      </c>
      <c r="I29" s="19"/>
      <c r="J29" s="22"/>
      <c r="K29" s="23"/>
      <c r="L29" s="23"/>
    </row>
    <row r="30" spans="1:12">
      <c r="A30" s="12">
        <v>22</v>
      </c>
      <c r="B30" s="20" t="s">
        <v>180</v>
      </c>
      <c r="C30" s="20"/>
      <c r="D30" s="20"/>
      <c r="E30" s="17">
        <v>1</v>
      </c>
      <c r="F30" s="37" t="s">
        <v>57</v>
      </c>
      <c r="G30" s="37">
        <v>45904</v>
      </c>
      <c r="H30" s="37">
        <v>45911</v>
      </c>
      <c r="I30" s="19"/>
      <c r="J30" s="22"/>
      <c r="K30" s="20"/>
      <c r="L30" s="20"/>
    </row>
    <row r="31" spans="1:12">
      <c r="A31" s="12">
        <v>23</v>
      </c>
      <c r="B31" s="20" t="s">
        <v>181</v>
      </c>
      <c r="C31" s="45"/>
      <c r="D31" s="20"/>
      <c r="E31" s="17">
        <v>1</v>
      </c>
      <c r="F31" s="37" t="s">
        <v>62</v>
      </c>
      <c r="G31" s="37">
        <v>45904</v>
      </c>
      <c r="H31" s="37">
        <v>45911</v>
      </c>
      <c r="I31" s="19"/>
      <c r="J31" s="20"/>
      <c r="K31" s="23"/>
      <c r="L31" s="23"/>
    </row>
    <row r="32" spans="1:12">
      <c r="A32" s="12">
        <v>24</v>
      </c>
      <c r="B32" s="20" t="s">
        <v>182</v>
      </c>
      <c r="C32" s="20"/>
      <c r="D32" s="20"/>
      <c r="E32" s="17">
        <v>1</v>
      </c>
      <c r="F32" s="37" t="s">
        <v>57</v>
      </c>
      <c r="G32" s="37">
        <v>45904</v>
      </c>
      <c r="H32" s="37">
        <v>45911</v>
      </c>
      <c r="I32" s="19"/>
      <c r="J32" s="22"/>
      <c r="K32" s="20"/>
      <c r="L32" s="20"/>
    </row>
    <row r="33" spans="1:12">
      <c r="A33" s="12">
        <v>25</v>
      </c>
      <c r="B33" s="20" t="s">
        <v>183</v>
      </c>
      <c r="C33" s="20"/>
      <c r="D33" s="20"/>
      <c r="E33" s="17">
        <v>1</v>
      </c>
      <c r="F33" s="17" t="s">
        <v>60</v>
      </c>
      <c r="G33" s="37">
        <v>45904</v>
      </c>
      <c r="H33" s="37">
        <v>45911</v>
      </c>
      <c r="I33" s="19"/>
      <c r="J33" s="22"/>
      <c r="K33" s="20"/>
      <c r="L33" s="20"/>
    </row>
    <row r="34" spans="1:12">
      <c r="A34" s="12">
        <v>26</v>
      </c>
      <c r="B34" s="20" t="s">
        <v>184</v>
      </c>
      <c r="C34" s="20"/>
      <c r="D34" s="20"/>
      <c r="E34" s="17">
        <v>1</v>
      </c>
      <c r="F34" s="37" t="s">
        <v>62</v>
      </c>
      <c r="G34" s="37">
        <v>45904</v>
      </c>
      <c r="H34" s="37">
        <v>45911</v>
      </c>
      <c r="I34" s="19"/>
      <c r="J34" s="20"/>
      <c r="K34" s="20"/>
      <c r="L34" s="20"/>
    </row>
    <row r="35" spans="1:12">
      <c r="A35" s="12">
        <v>27</v>
      </c>
      <c r="B35" s="20" t="s">
        <v>185</v>
      </c>
      <c r="C35" s="20"/>
      <c r="D35" s="20"/>
      <c r="E35" s="17">
        <v>3</v>
      </c>
      <c r="F35" s="37" t="s">
        <v>57</v>
      </c>
      <c r="G35" s="37">
        <v>45904</v>
      </c>
      <c r="H35" s="37">
        <v>45911</v>
      </c>
      <c r="I35" s="19"/>
      <c r="J35" s="20"/>
      <c r="K35" s="20"/>
      <c r="L35" s="20"/>
    </row>
    <row r="36" spans="1:12">
      <c r="A36" s="12">
        <v>28</v>
      </c>
      <c r="B36" s="20" t="s">
        <v>186</v>
      </c>
      <c r="C36" s="21"/>
      <c r="D36" s="17"/>
      <c r="E36" s="16">
        <v>1</v>
      </c>
      <c r="F36" s="17" t="s">
        <v>76</v>
      </c>
      <c r="G36" s="37">
        <v>45904</v>
      </c>
      <c r="H36" s="37">
        <v>45911</v>
      </c>
      <c r="I36" s="19"/>
      <c r="J36" s="20"/>
      <c r="K36" s="20"/>
      <c r="L36" s="20"/>
    </row>
    <row r="37" spans="1:12">
      <c r="A37" s="12">
        <v>29</v>
      </c>
      <c r="B37" s="20" t="s">
        <v>187</v>
      </c>
      <c r="C37" s="21"/>
      <c r="D37" s="17"/>
      <c r="E37" s="16">
        <v>1</v>
      </c>
      <c r="F37" s="16" t="s">
        <v>56</v>
      </c>
      <c r="G37" s="37">
        <v>45904</v>
      </c>
      <c r="H37" s="37">
        <v>45911</v>
      </c>
      <c r="I37" s="19"/>
      <c r="J37" s="20"/>
      <c r="K37" s="20"/>
      <c r="L37" s="20"/>
    </row>
    <row r="38" spans="1:12">
      <c r="A38" s="12">
        <v>30</v>
      </c>
      <c r="B38" s="20" t="s">
        <v>188</v>
      </c>
      <c r="C38" s="20"/>
      <c r="D38" s="20"/>
      <c r="E38" s="17" t="s">
        <v>58</v>
      </c>
      <c r="F38" s="37" t="s">
        <v>129</v>
      </c>
      <c r="G38" s="37">
        <v>45904</v>
      </c>
      <c r="H38" s="37">
        <v>45911</v>
      </c>
      <c r="I38" s="19"/>
      <c r="J38" s="20"/>
      <c r="K38" s="20"/>
      <c r="L38" s="20"/>
    </row>
    <row r="39" spans="1:12">
      <c r="A39" s="12">
        <v>31</v>
      </c>
      <c r="B39" s="20" t="s">
        <v>189</v>
      </c>
      <c r="C39" s="20"/>
      <c r="D39" s="20"/>
      <c r="E39" s="16">
        <v>1</v>
      </c>
      <c r="F39" s="37" t="s">
        <v>62</v>
      </c>
      <c r="G39" s="37">
        <v>45904</v>
      </c>
      <c r="H39" s="37">
        <v>45911</v>
      </c>
      <c r="I39" s="19"/>
      <c r="J39" s="20"/>
      <c r="K39" s="20"/>
      <c r="L39" s="20"/>
    </row>
    <row r="40" spans="1:12">
      <c r="A40" s="12">
        <v>32</v>
      </c>
      <c r="B40" s="20" t="s">
        <v>190</v>
      </c>
      <c r="C40" s="20"/>
      <c r="D40" s="20"/>
      <c r="E40" s="16">
        <v>2</v>
      </c>
      <c r="F40" s="37" t="s">
        <v>62</v>
      </c>
      <c r="G40" s="37">
        <v>45904</v>
      </c>
      <c r="H40" s="37">
        <v>45911</v>
      </c>
      <c r="I40" s="19"/>
      <c r="J40" s="20"/>
      <c r="K40" s="20"/>
      <c r="L40" s="20"/>
    </row>
    <row r="41" spans="1:12">
      <c r="A41" s="12">
        <v>33</v>
      </c>
      <c r="B41" s="20" t="s">
        <v>191</v>
      </c>
      <c r="C41" s="20"/>
      <c r="D41" s="20"/>
      <c r="E41" s="17">
        <v>1</v>
      </c>
      <c r="F41" s="37" t="s">
        <v>57</v>
      </c>
      <c r="G41" s="37">
        <v>45904</v>
      </c>
      <c r="H41" s="37">
        <v>45911</v>
      </c>
      <c r="I41" s="19"/>
      <c r="J41" s="20"/>
      <c r="K41" s="20"/>
      <c r="L41" s="20"/>
    </row>
  </sheetData>
  <sortState ref="B9:I72">
    <sortCondition ref="B9"/>
  </sortState>
  <mergeCells count="5">
    <mergeCell ref="A1:L1"/>
    <mergeCell ref="A2:L2"/>
    <mergeCell ref="F3:H3"/>
    <mergeCell ref="K3:L7"/>
    <mergeCell ref="C5:E5"/>
  </mergeCells>
  <dataValidations count="5">
    <dataValidation type="list" errorStyle="information" allowBlank="1" showInputMessage="1" showErrorMessage="1" errorTitle="Please Check Entry" error="It is recommended to pick a course from the list." sqref="C9:C16">
      <formula1>#REF!</formula1>
    </dataValidation>
    <dataValidation type="list" errorStyle="information" allowBlank="1" showInputMessage="1" showErrorMessage="1" errorTitle="Please Check Entry" error="It is recommended to pick a course from the list." sqref="C19">
      <formula1>#REF!</formula1>
    </dataValidation>
    <dataValidation type="list" errorStyle="information" allowBlank="1" showInputMessage="1" showErrorMessage="1" errorTitle="Please Check Entry" error="It is recommended to pick a course from the list." sqref="C21:C41">
      <formula1>#REF!</formula1>
    </dataValidation>
    <dataValidation type="list" errorStyle="information" allowBlank="1" showInputMessage="1" showErrorMessage="1" errorTitle="Please Check Entry" error="It is recommended to pick a course from the list." sqref="C17">
      <formula1>#REF!</formula1>
    </dataValidation>
    <dataValidation type="list" errorStyle="information" allowBlank="1" showInputMessage="1" showErrorMessage="1" errorTitle="Please Check Entry" error="It is recommended to pick a course from the list." sqref="C20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66"/>
  <sheetViews>
    <sheetView zoomScale="98" zoomScaleNormal="45" workbookViewId="0">
      <selection activeCell="B9" sqref="B9:B66"/>
    </sheetView>
  </sheetViews>
  <sheetFormatPr defaultRowHeight="13.8"/>
  <cols>
    <col min="1" max="1" width="4.09765625" customWidth="1"/>
    <col min="2" max="2" width="27.19921875" customWidth="1"/>
    <col min="3" max="3" width="11" customWidth="1"/>
    <col min="4" max="4" width="5.8984375" customWidth="1"/>
    <col min="5" max="5" width="11" customWidth="1"/>
    <col min="6" max="6" width="15.5" customWidth="1"/>
    <col min="7" max="7" width="11.09765625" customWidth="1"/>
    <col min="8" max="8" width="11.19921875" customWidth="1"/>
    <col min="9" max="9" width="7.19921875" customWidth="1"/>
  </cols>
  <sheetData>
    <row r="1" spans="1:12" ht="22.2">
      <c r="A1" s="58">
        <v>45912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2">
      <c r="A2" s="59"/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63"/>
      <c r="L3" s="63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63"/>
      <c r="L4" s="63"/>
    </row>
    <row r="5" spans="1:12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63"/>
      <c r="L5" s="63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63"/>
      <c r="L6" s="63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63"/>
      <c r="L7" s="63"/>
    </row>
    <row r="8" spans="1:12" ht="41.4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2">
      <c r="A9" s="12">
        <v>1</v>
      </c>
      <c r="B9" s="49" t="s">
        <v>159</v>
      </c>
      <c r="C9" s="20"/>
      <c r="D9" s="39"/>
      <c r="E9" s="17">
        <v>1</v>
      </c>
      <c r="F9" s="17" t="s">
        <v>93</v>
      </c>
      <c r="G9" s="37">
        <v>45905</v>
      </c>
      <c r="H9" s="37">
        <v>45912</v>
      </c>
      <c r="I9" s="19"/>
      <c r="J9" s="20"/>
      <c r="K9" s="20"/>
      <c r="L9" s="20"/>
    </row>
    <row r="10" spans="1:12">
      <c r="A10" s="12">
        <v>2</v>
      </c>
      <c r="B10" s="49" t="s">
        <v>160</v>
      </c>
      <c r="C10" s="20"/>
      <c r="D10" s="20"/>
      <c r="E10" s="17" t="s">
        <v>58</v>
      </c>
      <c r="F10" s="17" t="s">
        <v>111</v>
      </c>
      <c r="G10" s="37">
        <v>45905</v>
      </c>
      <c r="H10" s="37">
        <v>45912</v>
      </c>
      <c r="I10" s="19"/>
      <c r="J10" s="22"/>
      <c r="K10" s="23"/>
      <c r="L10" s="23"/>
    </row>
    <row r="11" spans="1:12">
      <c r="A11" s="12">
        <v>3</v>
      </c>
      <c r="B11" s="49" t="s">
        <v>161</v>
      </c>
      <c r="C11" s="20"/>
      <c r="D11" s="39"/>
      <c r="E11" s="17">
        <v>1</v>
      </c>
      <c r="F11" s="17" t="s">
        <v>93</v>
      </c>
      <c r="G11" s="37">
        <v>45905</v>
      </c>
      <c r="H11" s="37">
        <v>45912</v>
      </c>
      <c r="I11" s="19"/>
      <c r="J11" s="22"/>
      <c r="K11" s="20"/>
      <c r="L11" s="20"/>
    </row>
    <row r="12" spans="1:12">
      <c r="A12" s="12">
        <v>4</v>
      </c>
      <c r="B12" s="49" t="s">
        <v>162</v>
      </c>
      <c r="C12" s="20"/>
      <c r="D12" s="39"/>
      <c r="E12" s="17">
        <v>1</v>
      </c>
      <c r="F12" s="17" t="s">
        <v>111</v>
      </c>
      <c r="G12" s="37">
        <v>45905</v>
      </c>
      <c r="H12" s="37">
        <v>45912</v>
      </c>
      <c r="I12" s="19"/>
      <c r="J12" s="20"/>
      <c r="K12" s="20"/>
      <c r="L12" s="20"/>
    </row>
    <row r="13" spans="1:12">
      <c r="A13" s="12">
        <v>5</v>
      </c>
      <c r="B13" s="49" t="s">
        <v>163</v>
      </c>
      <c r="C13" s="20"/>
      <c r="D13" s="20"/>
      <c r="E13" s="17" t="s">
        <v>112</v>
      </c>
      <c r="F13" s="17" t="s">
        <v>85</v>
      </c>
      <c r="G13" s="37">
        <v>45905</v>
      </c>
      <c r="H13" s="37">
        <v>45912</v>
      </c>
      <c r="I13" s="19"/>
      <c r="J13" s="22"/>
      <c r="K13" s="23"/>
      <c r="L13" s="23"/>
    </row>
    <row r="14" spans="1:12">
      <c r="A14" s="12">
        <v>6</v>
      </c>
      <c r="B14" s="49" t="s">
        <v>164</v>
      </c>
      <c r="C14" s="21"/>
      <c r="D14" s="17"/>
      <c r="E14" s="16">
        <v>1</v>
      </c>
      <c r="F14" s="17" t="s">
        <v>119</v>
      </c>
      <c r="G14" s="37">
        <v>45905</v>
      </c>
      <c r="H14" s="37">
        <v>45912</v>
      </c>
      <c r="I14" s="19"/>
      <c r="J14" s="22"/>
      <c r="K14" s="23"/>
      <c r="L14" s="23"/>
    </row>
    <row r="15" spans="1:12">
      <c r="A15" s="12">
        <v>7</v>
      </c>
      <c r="B15" s="49" t="s">
        <v>165</v>
      </c>
      <c r="C15" s="21"/>
      <c r="D15" s="17"/>
      <c r="E15" s="17">
        <v>1</v>
      </c>
      <c r="F15" s="16" t="s">
        <v>120</v>
      </c>
      <c r="G15" s="37">
        <v>45905</v>
      </c>
      <c r="H15" s="37">
        <v>45912</v>
      </c>
      <c r="I15" s="19"/>
      <c r="J15" s="20"/>
      <c r="K15" s="20"/>
      <c r="L15" s="20"/>
    </row>
    <row r="16" spans="1:12">
      <c r="A16" s="12">
        <v>8</v>
      </c>
      <c r="B16" s="49" t="s">
        <v>166</v>
      </c>
      <c r="C16" s="20"/>
      <c r="D16" s="20"/>
      <c r="E16" s="17">
        <v>1</v>
      </c>
      <c r="F16" s="17" t="s">
        <v>93</v>
      </c>
      <c r="G16" s="37">
        <v>45905</v>
      </c>
      <c r="H16" s="37">
        <v>45912</v>
      </c>
      <c r="I16" s="19"/>
      <c r="J16" s="20"/>
      <c r="K16" s="23"/>
      <c r="L16" s="23"/>
    </row>
    <row r="17" spans="1:12">
      <c r="A17" s="12">
        <v>9</v>
      </c>
      <c r="B17" s="49" t="s">
        <v>167</v>
      </c>
      <c r="C17" s="20"/>
      <c r="D17" s="20"/>
      <c r="E17" s="17">
        <v>1</v>
      </c>
      <c r="F17" s="17" t="s">
        <v>93</v>
      </c>
      <c r="G17" s="37">
        <v>45905</v>
      </c>
      <c r="H17" s="37">
        <v>45912</v>
      </c>
      <c r="I17" s="19"/>
      <c r="J17" s="22"/>
      <c r="K17" s="23"/>
      <c r="L17" s="23"/>
    </row>
    <row r="18" spans="1:12">
      <c r="A18" s="12">
        <v>10</v>
      </c>
      <c r="B18" s="49" t="s">
        <v>168</v>
      </c>
      <c r="C18" s="20"/>
      <c r="D18" s="20"/>
      <c r="E18" s="17" t="s">
        <v>126</v>
      </c>
      <c r="F18" s="17" t="s">
        <v>93</v>
      </c>
      <c r="G18" s="37">
        <v>45905</v>
      </c>
      <c r="H18" s="37">
        <v>45912</v>
      </c>
      <c r="I18" s="19"/>
      <c r="J18" s="22"/>
      <c r="K18" s="20"/>
      <c r="L18" s="20"/>
    </row>
    <row r="19" spans="1:12">
      <c r="A19" s="12">
        <v>11</v>
      </c>
      <c r="B19" s="49" t="s">
        <v>169</v>
      </c>
      <c r="C19" s="20"/>
      <c r="D19" s="20"/>
      <c r="E19" s="17">
        <v>1</v>
      </c>
      <c r="F19" s="17" t="s">
        <v>111</v>
      </c>
      <c r="G19" s="37">
        <v>45905</v>
      </c>
      <c r="H19" s="37">
        <v>45912</v>
      </c>
      <c r="I19" s="19"/>
      <c r="J19" s="20"/>
      <c r="K19" s="20"/>
      <c r="L19" s="20"/>
    </row>
    <row r="20" spans="1:12">
      <c r="A20" s="12">
        <v>12</v>
      </c>
      <c r="B20" s="49" t="s">
        <v>170</v>
      </c>
      <c r="C20" s="20"/>
      <c r="D20" s="20"/>
      <c r="E20" s="17">
        <v>1</v>
      </c>
      <c r="F20" s="17" t="s">
        <v>85</v>
      </c>
      <c r="G20" s="37">
        <v>45905</v>
      </c>
      <c r="H20" s="37">
        <v>45912</v>
      </c>
      <c r="I20" s="19"/>
      <c r="J20" s="20"/>
      <c r="K20" s="23"/>
      <c r="L20" s="23"/>
    </row>
    <row r="21" spans="1:12">
      <c r="A21" s="12">
        <v>13</v>
      </c>
      <c r="B21" s="49" t="s">
        <v>171</v>
      </c>
      <c r="C21" s="20"/>
      <c r="D21" s="20"/>
      <c r="E21" s="17" t="s">
        <v>123</v>
      </c>
      <c r="F21" s="17" t="s">
        <v>85</v>
      </c>
      <c r="G21" s="37">
        <v>45905</v>
      </c>
      <c r="H21" s="37">
        <v>45912</v>
      </c>
      <c r="I21" s="19"/>
      <c r="J21" s="20"/>
      <c r="K21" s="23"/>
      <c r="L21" s="23"/>
    </row>
    <row r="22" spans="1:12">
      <c r="A22" s="12">
        <v>14</v>
      </c>
      <c r="B22" s="49" t="s">
        <v>172</v>
      </c>
      <c r="C22" s="21"/>
      <c r="D22" s="17"/>
      <c r="E22" s="16" t="s">
        <v>58</v>
      </c>
      <c r="F22" s="17" t="s">
        <v>111</v>
      </c>
      <c r="G22" s="37">
        <v>45905</v>
      </c>
      <c r="H22" s="37">
        <v>45912</v>
      </c>
      <c r="I22" s="19"/>
      <c r="J22" s="22"/>
      <c r="K22" s="20"/>
      <c r="L22" s="20"/>
    </row>
    <row r="23" spans="1:12">
      <c r="A23" s="12">
        <v>15</v>
      </c>
      <c r="B23" s="49" t="s">
        <v>173</v>
      </c>
      <c r="C23" s="20"/>
      <c r="D23" s="20"/>
      <c r="E23" s="17">
        <v>1</v>
      </c>
      <c r="F23" s="17" t="s">
        <v>124</v>
      </c>
      <c r="G23" s="37">
        <v>45905</v>
      </c>
      <c r="H23" s="37">
        <v>45912</v>
      </c>
      <c r="I23" s="19"/>
      <c r="J23" s="20"/>
      <c r="K23" s="20"/>
      <c r="L23" s="20"/>
    </row>
    <row r="24" spans="1:12">
      <c r="A24" s="12">
        <v>16</v>
      </c>
      <c r="B24" s="49" t="s">
        <v>174</v>
      </c>
      <c r="C24" s="20"/>
      <c r="D24" s="20"/>
      <c r="E24" s="17" t="s">
        <v>126</v>
      </c>
      <c r="F24" s="17" t="s">
        <v>93</v>
      </c>
      <c r="G24" s="37">
        <v>45905</v>
      </c>
      <c r="H24" s="37">
        <v>45912</v>
      </c>
      <c r="I24" s="19"/>
      <c r="J24" s="22"/>
      <c r="K24" s="23"/>
      <c r="L24" s="23"/>
    </row>
    <row r="25" spans="1:12">
      <c r="A25" s="12">
        <v>17</v>
      </c>
      <c r="B25" s="49" t="s">
        <v>175</v>
      </c>
      <c r="C25" s="20"/>
      <c r="D25" s="20"/>
      <c r="E25" s="17" t="s">
        <v>58</v>
      </c>
      <c r="F25" s="17" t="s">
        <v>115</v>
      </c>
      <c r="G25" s="37">
        <v>45905</v>
      </c>
      <c r="H25" s="37">
        <v>45912</v>
      </c>
      <c r="I25" s="19"/>
      <c r="J25" s="20"/>
      <c r="K25" s="23"/>
      <c r="L25" s="23"/>
    </row>
    <row r="26" spans="1:12">
      <c r="A26" s="12">
        <v>18</v>
      </c>
      <c r="B26" s="49" t="s">
        <v>176</v>
      </c>
      <c r="C26" s="20"/>
      <c r="D26" s="20"/>
      <c r="E26" s="17">
        <v>1</v>
      </c>
      <c r="F26" s="17" t="s">
        <v>93</v>
      </c>
      <c r="G26" s="37">
        <v>45905</v>
      </c>
      <c r="H26" s="37">
        <v>45912</v>
      </c>
      <c r="I26" s="19"/>
      <c r="J26" s="22"/>
      <c r="K26" s="23"/>
      <c r="L26" s="23"/>
    </row>
    <row r="27" spans="1:12">
      <c r="A27" s="12">
        <v>19</v>
      </c>
      <c r="B27" s="49" t="s">
        <v>177</v>
      </c>
      <c r="C27" s="14"/>
      <c r="D27" s="17"/>
      <c r="E27" s="16">
        <v>1</v>
      </c>
      <c r="F27" s="17" t="s">
        <v>93</v>
      </c>
      <c r="G27" s="37">
        <v>45905</v>
      </c>
      <c r="H27" s="37">
        <v>45912</v>
      </c>
      <c r="I27" s="19"/>
      <c r="J27" s="20"/>
      <c r="K27" s="20"/>
      <c r="L27" s="20"/>
    </row>
    <row r="28" spans="1:12">
      <c r="A28" s="12">
        <v>20</v>
      </c>
      <c r="B28" s="49" t="s">
        <v>178</v>
      </c>
      <c r="C28" s="20"/>
      <c r="D28" s="20"/>
      <c r="E28" s="17">
        <v>3</v>
      </c>
      <c r="F28" s="17" t="s">
        <v>93</v>
      </c>
      <c r="G28" s="37">
        <v>45905</v>
      </c>
      <c r="H28" s="37">
        <v>45912</v>
      </c>
      <c r="I28" s="19"/>
      <c r="J28" s="22"/>
      <c r="K28" s="23"/>
      <c r="L28" s="23"/>
    </row>
    <row r="29" spans="1:12">
      <c r="A29" s="12">
        <v>21</v>
      </c>
      <c r="B29" s="49" t="s">
        <v>179</v>
      </c>
      <c r="C29" s="20"/>
      <c r="D29" s="20"/>
      <c r="E29" s="17" t="s">
        <v>58</v>
      </c>
      <c r="F29" s="17" t="s">
        <v>111</v>
      </c>
      <c r="G29" s="37">
        <v>45905</v>
      </c>
      <c r="H29" s="37">
        <v>45912</v>
      </c>
      <c r="I29" s="19"/>
      <c r="J29" s="22"/>
      <c r="K29" s="23"/>
      <c r="L29" s="23"/>
    </row>
    <row r="30" spans="1:12">
      <c r="A30" s="12">
        <v>22</v>
      </c>
      <c r="B30" s="49" t="s">
        <v>180</v>
      </c>
      <c r="C30" s="20"/>
      <c r="D30" s="20"/>
      <c r="E30" s="17" t="s">
        <v>126</v>
      </c>
      <c r="F30" s="17" t="s">
        <v>93</v>
      </c>
      <c r="G30" s="37">
        <v>45905</v>
      </c>
      <c r="H30" s="37">
        <v>45912</v>
      </c>
      <c r="I30" s="19"/>
      <c r="J30" s="22"/>
      <c r="K30" s="20"/>
      <c r="L30" s="20"/>
    </row>
    <row r="31" spans="1:12">
      <c r="A31" s="12">
        <v>23</v>
      </c>
      <c r="B31" s="49" t="s">
        <v>181</v>
      </c>
      <c r="C31" s="20"/>
      <c r="D31" s="20"/>
      <c r="E31" s="17">
        <v>1</v>
      </c>
      <c r="F31" s="17" t="s">
        <v>56</v>
      </c>
      <c r="G31" s="37">
        <v>45905</v>
      </c>
      <c r="H31" s="37">
        <v>45912</v>
      </c>
      <c r="I31" s="19"/>
      <c r="J31" s="20"/>
      <c r="K31" s="23"/>
      <c r="L31" s="23"/>
    </row>
    <row r="32" spans="1:12">
      <c r="A32" s="12">
        <v>24</v>
      </c>
      <c r="B32" s="49" t="s">
        <v>182</v>
      </c>
      <c r="C32" s="20"/>
      <c r="D32" s="20"/>
      <c r="E32" s="17">
        <v>1</v>
      </c>
      <c r="F32" s="17" t="s">
        <v>62</v>
      </c>
      <c r="G32" s="37">
        <v>45905</v>
      </c>
      <c r="H32" s="37">
        <v>45912</v>
      </c>
      <c r="I32" s="19"/>
      <c r="J32" s="22"/>
      <c r="K32" s="20"/>
      <c r="L32" s="20"/>
    </row>
    <row r="33" spans="1:12">
      <c r="A33" s="12">
        <v>25</v>
      </c>
      <c r="B33" s="49" t="s">
        <v>183</v>
      </c>
      <c r="C33" s="21"/>
      <c r="D33" s="17"/>
      <c r="E33" s="17" t="s">
        <v>118</v>
      </c>
      <c r="F33" s="17" t="s">
        <v>62</v>
      </c>
      <c r="G33" s="37">
        <v>45905</v>
      </c>
      <c r="H33" s="37">
        <v>45912</v>
      </c>
      <c r="I33" s="19"/>
      <c r="J33" s="22"/>
      <c r="K33" s="20"/>
      <c r="L33" s="20"/>
    </row>
    <row r="34" spans="1:12">
      <c r="A34" s="12">
        <v>26</v>
      </c>
      <c r="B34" s="49" t="s">
        <v>184</v>
      </c>
      <c r="C34" s="20"/>
      <c r="D34" s="20"/>
      <c r="E34" s="17" t="s">
        <v>118</v>
      </c>
      <c r="F34" s="17" t="s">
        <v>62</v>
      </c>
      <c r="G34" s="37">
        <v>45905</v>
      </c>
      <c r="H34" s="37">
        <v>45912</v>
      </c>
      <c r="I34" s="19"/>
      <c r="J34" s="20"/>
      <c r="K34" s="20"/>
      <c r="L34" s="20"/>
    </row>
    <row r="35" spans="1:12">
      <c r="A35" s="12">
        <v>27</v>
      </c>
      <c r="B35" s="49" t="s">
        <v>185</v>
      </c>
      <c r="C35" s="20"/>
      <c r="D35" s="20"/>
      <c r="E35" s="17">
        <v>3</v>
      </c>
      <c r="F35" s="17" t="s">
        <v>127</v>
      </c>
      <c r="G35" s="37">
        <v>45905</v>
      </c>
      <c r="H35" s="37">
        <v>45912</v>
      </c>
      <c r="I35" s="19"/>
      <c r="J35" s="20"/>
      <c r="K35" s="20"/>
      <c r="L35" s="20"/>
    </row>
    <row r="36" spans="1:12">
      <c r="A36" s="12">
        <v>28</v>
      </c>
      <c r="B36" s="49" t="s">
        <v>186</v>
      </c>
      <c r="C36" s="20"/>
      <c r="D36" s="20"/>
      <c r="E36" s="16" t="s">
        <v>58</v>
      </c>
      <c r="F36" s="17" t="s">
        <v>111</v>
      </c>
      <c r="G36" s="37">
        <v>45910</v>
      </c>
      <c r="H36" s="37">
        <v>45912</v>
      </c>
      <c r="I36" s="19"/>
      <c r="J36" s="20"/>
      <c r="K36" s="20"/>
      <c r="L36" s="20"/>
    </row>
    <row r="37" spans="1:12">
      <c r="A37" s="12">
        <v>29</v>
      </c>
      <c r="B37" s="49" t="s">
        <v>187</v>
      </c>
      <c r="C37" s="20"/>
      <c r="D37" s="20"/>
      <c r="E37" s="17" t="s">
        <v>58</v>
      </c>
      <c r="F37" s="17" t="s">
        <v>111</v>
      </c>
      <c r="G37" s="37">
        <v>45905</v>
      </c>
      <c r="H37" s="37">
        <v>45912</v>
      </c>
      <c r="I37" s="19"/>
      <c r="J37" s="20"/>
      <c r="K37" s="20"/>
      <c r="L37" s="20"/>
    </row>
    <row r="38" spans="1:12">
      <c r="A38" s="12">
        <v>30</v>
      </c>
      <c r="B38" s="49" t="s">
        <v>188</v>
      </c>
      <c r="C38" s="20"/>
      <c r="D38" s="20"/>
      <c r="E38" s="17" t="s">
        <v>122</v>
      </c>
      <c r="F38" s="17" t="s">
        <v>111</v>
      </c>
      <c r="G38" s="37">
        <v>45905</v>
      </c>
      <c r="H38" s="37">
        <v>45912</v>
      </c>
      <c r="I38" s="19"/>
      <c r="J38" s="20"/>
      <c r="K38" s="20"/>
      <c r="L38" s="20"/>
    </row>
    <row r="39" spans="1:12">
      <c r="A39" s="12">
        <v>31</v>
      </c>
      <c r="B39" s="49" t="s">
        <v>189</v>
      </c>
      <c r="C39" s="20"/>
      <c r="D39" s="20"/>
      <c r="E39" s="17" t="s">
        <v>122</v>
      </c>
      <c r="F39" s="17" t="s">
        <v>111</v>
      </c>
      <c r="G39" s="37">
        <v>45905</v>
      </c>
      <c r="H39" s="37">
        <v>45912</v>
      </c>
      <c r="I39" s="19"/>
      <c r="J39" s="20"/>
      <c r="K39" s="20"/>
      <c r="L39" s="20"/>
    </row>
    <row r="40" spans="1:12">
      <c r="A40" s="12">
        <v>32</v>
      </c>
      <c r="B40" s="49" t="s">
        <v>190</v>
      </c>
      <c r="C40" s="20"/>
      <c r="D40" s="20"/>
      <c r="E40" s="17" t="s">
        <v>71</v>
      </c>
      <c r="F40" s="17" t="s">
        <v>111</v>
      </c>
      <c r="G40" s="37">
        <v>45905</v>
      </c>
      <c r="H40" s="37">
        <v>45912</v>
      </c>
      <c r="I40" s="19"/>
      <c r="J40" s="20"/>
      <c r="K40" s="20"/>
      <c r="L40" s="20"/>
    </row>
    <row r="41" spans="1:12">
      <c r="A41" s="12">
        <v>33</v>
      </c>
      <c r="B41" s="49" t="s">
        <v>191</v>
      </c>
      <c r="C41" s="20"/>
      <c r="D41" s="20"/>
      <c r="E41" s="17">
        <v>1</v>
      </c>
      <c r="F41" s="17" t="s">
        <v>111</v>
      </c>
      <c r="G41" s="37">
        <v>45905</v>
      </c>
      <c r="H41" s="37">
        <v>45912</v>
      </c>
      <c r="I41" s="19"/>
      <c r="J41" s="20"/>
      <c r="K41" s="20"/>
      <c r="L41" s="20"/>
    </row>
    <row r="42" spans="1:12">
      <c r="A42" s="12">
        <v>34</v>
      </c>
      <c r="B42" s="49" t="s">
        <v>192</v>
      </c>
      <c r="C42" s="20"/>
      <c r="D42" s="20"/>
      <c r="E42" s="17">
        <v>2</v>
      </c>
      <c r="F42" s="17" t="s">
        <v>93</v>
      </c>
      <c r="G42" s="37">
        <v>45905</v>
      </c>
      <c r="H42" s="37">
        <v>45912</v>
      </c>
      <c r="I42" s="19"/>
      <c r="J42" s="20"/>
      <c r="K42" s="20"/>
      <c r="L42" s="20"/>
    </row>
    <row r="43" spans="1:12">
      <c r="A43" s="12">
        <v>35</v>
      </c>
      <c r="B43" s="49" t="s">
        <v>193</v>
      </c>
      <c r="C43" s="20"/>
      <c r="D43" s="17"/>
      <c r="E43" s="16" t="s">
        <v>58</v>
      </c>
      <c r="F43" s="17" t="s">
        <v>111</v>
      </c>
      <c r="G43" s="37">
        <v>45905</v>
      </c>
      <c r="H43" s="37">
        <v>45912</v>
      </c>
      <c r="I43" s="19"/>
      <c r="J43" s="20"/>
      <c r="K43" s="20"/>
      <c r="L43" s="20"/>
    </row>
    <row r="44" spans="1:12">
      <c r="A44" s="12">
        <v>36</v>
      </c>
      <c r="B44" s="49" t="s">
        <v>194</v>
      </c>
      <c r="C44" s="20"/>
      <c r="D44" s="20"/>
      <c r="E44" s="17" t="s">
        <v>125</v>
      </c>
      <c r="F44" s="17" t="s">
        <v>83</v>
      </c>
      <c r="G44" s="37">
        <v>45905</v>
      </c>
      <c r="H44" s="37">
        <v>45912</v>
      </c>
      <c r="I44" s="19"/>
      <c r="J44" s="20"/>
      <c r="K44" s="20"/>
      <c r="L44" s="20"/>
    </row>
    <row r="45" spans="1:12">
      <c r="A45" s="12">
        <v>37</v>
      </c>
      <c r="B45" s="49" t="s">
        <v>195</v>
      </c>
      <c r="C45" s="20"/>
      <c r="D45" s="20"/>
      <c r="E45" s="17" t="s">
        <v>126</v>
      </c>
      <c r="F45" s="17" t="s">
        <v>93</v>
      </c>
      <c r="G45" s="37">
        <v>45905</v>
      </c>
      <c r="H45" s="37">
        <v>45912</v>
      </c>
      <c r="I45" s="19"/>
      <c r="J45" s="20"/>
      <c r="K45" s="20"/>
      <c r="L45" s="20"/>
    </row>
    <row r="46" spans="1:12">
      <c r="A46" s="12">
        <v>38</v>
      </c>
      <c r="B46" s="49" t="s">
        <v>196</v>
      </c>
      <c r="C46" s="21"/>
      <c r="D46" s="17"/>
      <c r="E46" s="16">
        <v>1</v>
      </c>
      <c r="F46" s="17" t="s">
        <v>93</v>
      </c>
      <c r="G46" s="37">
        <v>45905</v>
      </c>
      <c r="H46" s="37">
        <v>45912</v>
      </c>
      <c r="I46" s="19"/>
      <c r="J46" s="20"/>
      <c r="K46" s="20"/>
      <c r="L46" s="20"/>
    </row>
    <row r="47" spans="1:12">
      <c r="A47" s="12">
        <v>39</v>
      </c>
      <c r="B47" s="49" t="s">
        <v>197</v>
      </c>
      <c r="C47" s="21"/>
      <c r="D47" s="20"/>
      <c r="E47" s="17">
        <v>1</v>
      </c>
      <c r="F47" s="17" t="s">
        <v>120</v>
      </c>
      <c r="G47" s="37">
        <v>45905</v>
      </c>
      <c r="H47" s="37">
        <v>45912</v>
      </c>
      <c r="I47" s="19"/>
      <c r="J47" s="20"/>
      <c r="K47" s="20"/>
      <c r="L47" s="20"/>
    </row>
    <row r="48" spans="1:12">
      <c r="A48" s="12">
        <v>40</v>
      </c>
      <c r="B48" s="49" t="s">
        <v>198</v>
      </c>
      <c r="C48" s="21"/>
      <c r="D48" s="20"/>
      <c r="E48" s="17">
        <v>1</v>
      </c>
      <c r="F48" s="17" t="s">
        <v>121</v>
      </c>
      <c r="G48" s="37">
        <v>45905</v>
      </c>
      <c r="H48" s="37">
        <v>45912</v>
      </c>
      <c r="I48" s="19"/>
      <c r="J48" s="20"/>
      <c r="K48" s="20"/>
      <c r="L48" s="20"/>
    </row>
    <row r="49" spans="1:12">
      <c r="A49" s="12">
        <v>41</v>
      </c>
      <c r="B49" s="49" t="s">
        <v>199</v>
      </c>
      <c r="C49" s="20"/>
      <c r="D49" s="20"/>
      <c r="E49" s="17">
        <v>2</v>
      </c>
      <c r="F49" s="17" t="s">
        <v>121</v>
      </c>
      <c r="G49" s="37">
        <v>45905</v>
      </c>
      <c r="H49" s="37">
        <v>45912</v>
      </c>
      <c r="I49" s="19"/>
      <c r="J49" s="20"/>
      <c r="K49" s="20"/>
      <c r="L49" s="20"/>
    </row>
    <row r="50" spans="1:12">
      <c r="A50" s="12">
        <v>42</v>
      </c>
      <c r="B50" s="49" t="s">
        <v>200</v>
      </c>
      <c r="C50" s="20"/>
      <c r="D50" s="39"/>
      <c r="E50" s="17">
        <v>1</v>
      </c>
      <c r="F50" s="17" t="s">
        <v>116</v>
      </c>
      <c r="G50" s="37">
        <v>45905</v>
      </c>
      <c r="H50" s="37">
        <v>45912</v>
      </c>
      <c r="I50" s="19"/>
      <c r="J50" s="20"/>
      <c r="K50" s="20"/>
      <c r="L50" s="20"/>
    </row>
    <row r="51" spans="1:12">
      <c r="A51" s="12">
        <v>43</v>
      </c>
      <c r="B51" s="49" t="s">
        <v>201</v>
      </c>
      <c r="C51" s="20"/>
      <c r="D51" s="39"/>
      <c r="E51" s="17">
        <v>1</v>
      </c>
      <c r="F51" s="17" t="s">
        <v>93</v>
      </c>
      <c r="G51" s="37">
        <v>45905</v>
      </c>
      <c r="H51" s="37">
        <v>45912</v>
      </c>
      <c r="I51" s="19"/>
      <c r="J51" s="20"/>
      <c r="K51" s="20"/>
      <c r="L51" s="20"/>
    </row>
    <row r="52" spans="1:12">
      <c r="A52" s="12">
        <v>44</v>
      </c>
      <c r="B52" s="49" t="s">
        <v>202</v>
      </c>
      <c r="C52" s="20"/>
      <c r="D52" s="39"/>
      <c r="E52" s="17">
        <v>1</v>
      </c>
      <c r="F52" s="17" t="s">
        <v>93</v>
      </c>
      <c r="G52" s="37">
        <v>45905</v>
      </c>
      <c r="H52" s="37">
        <v>45912</v>
      </c>
      <c r="I52" s="19"/>
      <c r="J52" s="20"/>
      <c r="K52" s="20"/>
      <c r="L52" s="20"/>
    </row>
    <row r="53" spans="1:12">
      <c r="A53" s="12">
        <v>45</v>
      </c>
      <c r="B53" s="49" t="s">
        <v>203</v>
      </c>
      <c r="C53" s="20"/>
      <c r="D53" s="20"/>
      <c r="E53" s="17">
        <v>2</v>
      </c>
      <c r="F53" s="17" t="s">
        <v>121</v>
      </c>
      <c r="G53" s="37">
        <v>45905</v>
      </c>
      <c r="H53" s="37">
        <v>45912</v>
      </c>
      <c r="I53" s="19"/>
      <c r="J53" s="20"/>
      <c r="K53" s="20"/>
      <c r="L53" s="20"/>
    </row>
    <row r="54" spans="1:12">
      <c r="A54" s="12">
        <v>46</v>
      </c>
      <c r="B54" s="49" t="s">
        <v>204</v>
      </c>
      <c r="C54" s="20"/>
      <c r="D54" s="20"/>
      <c r="E54" s="17">
        <v>1</v>
      </c>
      <c r="F54" s="17" t="s">
        <v>93</v>
      </c>
      <c r="G54" s="37">
        <v>45905</v>
      </c>
      <c r="H54" s="37">
        <v>45912</v>
      </c>
      <c r="I54" s="19"/>
      <c r="J54" s="20"/>
      <c r="K54" s="20"/>
      <c r="L54" s="20"/>
    </row>
    <row r="55" spans="1:12">
      <c r="A55" s="12">
        <v>47</v>
      </c>
      <c r="B55" s="49" t="s">
        <v>205</v>
      </c>
      <c r="C55" s="21"/>
      <c r="D55" s="17"/>
      <c r="E55" s="16" t="s">
        <v>117</v>
      </c>
      <c r="F55" s="17" t="s">
        <v>111</v>
      </c>
      <c r="G55" s="37">
        <v>45905</v>
      </c>
      <c r="H55" s="37">
        <v>45912</v>
      </c>
      <c r="I55" s="19"/>
      <c r="J55" s="20"/>
      <c r="K55" s="20"/>
      <c r="L55" s="20"/>
    </row>
    <row r="56" spans="1:12">
      <c r="A56" s="12">
        <v>48</v>
      </c>
      <c r="B56" s="49" t="s">
        <v>206</v>
      </c>
      <c r="C56" s="21"/>
      <c r="D56" s="15"/>
      <c r="E56" s="16" t="s">
        <v>117</v>
      </c>
      <c r="F56" s="17" t="s">
        <v>111</v>
      </c>
      <c r="G56" s="37">
        <v>45905</v>
      </c>
      <c r="H56" s="37">
        <v>45912</v>
      </c>
      <c r="I56" s="19"/>
      <c r="J56" s="20"/>
      <c r="K56" s="20"/>
      <c r="L56" s="20"/>
    </row>
    <row r="57" spans="1:12">
      <c r="A57" s="12">
        <v>49</v>
      </c>
      <c r="B57" s="49" t="s">
        <v>207</v>
      </c>
      <c r="C57" s="20"/>
      <c r="D57" s="20"/>
      <c r="E57" s="17" t="s">
        <v>61</v>
      </c>
      <c r="F57" s="17" t="s">
        <v>121</v>
      </c>
      <c r="G57" s="37">
        <v>45905</v>
      </c>
      <c r="H57" s="37">
        <v>45912</v>
      </c>
      <c r="I57" s="19"/>
      <c r="J57" s="20"/>
      <c r="K57" s="20"/>
      <c r="L57" s="20"/>
    </row>
    <row r="58" spans="1:12">
      <c r="A58" s="12">
        <v>50</v>
      </c>
      <c r="B58" s="49" t="s">
        <v>208</v>
      </c>
      <c r="C58" s="20"/>
      <c r="D58" s="39"/>
      <c r="E58" s="17">
        <v>1</v>
      </c>
      <c r="F58" s="17" t="s">
        <v>56</v>
      </c>
      <c r="G58" s="37">
        <v>45905</v>
      </c>
      <c r="H58" s="37">
        <v>45912</v>
      </c>
      <c r="I58" s="19"/>
      <c r="J58" s="20"/>
      <c r="K58" s="20"/>
      <c r="L58" s="20"/>
    </row>
    <row r="59" spans="1:12">
      <c r="A59" s="12">
        <v>51</v>
      </c>
      <c r="B59" s="49" t="s">
        <v>209</v>
      </c>
      <c r="C59" s="20"/>
      <c r="D59" s="20"/>
      <c r="E59" s="16" t="s">
        <v>91</v>
      </c>
      <c r="F59" s="17" t="s">
        <v>62</v>
      </c>
      <c r="G59" s="37">
        <v>45910</v>
      </c>
      <c r="H59" s="37">
        <v>45912</v>
      </c>
      <c r="I59" s="19"/>
      <c r="J59" s="20"/>
      <c r="K59" s="20"/>
      <c r="L59" s="20"/>
    </row>
    <row r="60" spans="1:12">
      <c r="A60" s="12">
        <v>52</v>
      </c>
      <c r="B60" s="49" t="s">
        <v>210</v>
      </c>
      <c r="C60" s="20"/>
      <c r="D60" s="20"/>
      <c r="E60" s="17">
        <v>1</v>
      </c>
      <c r="F60" s="17" t="s">
        <v>62</v>
      </c>
      <c r="G60" s="37">
        <v>45905</v>
      </c>
      <c r="H60" s="37">
        <v>45912</v>
      </c>
      <c r="I60" s="19"/>
      <c r="J60" s="20"/>
      <c r="K60" s="20"/>
      <c r="L60" s="20"/>
    </row>
    <row r="61" spans="1:12">
      <c r="A61" s="12">
        <v>53</v>
      </c>
      <c r="B61" s="49" t="s">
        <v>211</v>
      </c>
      <c r="C61" s="20"/>
      <c r="D61" s="20"/>
      <c r="E61" s="16" t="s">
        <v>58</v>
      </c>
      <c r="F61" s="17" t="s">
        <v>111</v>
      </c>
      <c r="G61" s="37">
        <v>45905</v>
      </c>
      <c r="H61" s="37">
        <v>45912</v>
      </c>
      <c r="I61" s="19"/>
      <c r="J61" s="20"/>
      <c r="K61" s="20"/>
      <c r="L61" s="20"/>
    </row>
    <row r="62" spans="1:12">
      <c r="A62" s="12">
        <v>54</v>
      </c>
      <c r="B62" s="49" t="s">
        <v>212</v>
      </c>
      <c r="C62" s="20"/>
      <c r="D62" s="20"/>
      <c r="E62" s="17" t="s">
        <v>114</v>
      </c>
      <c r="F62" s="17" t="s">
        <v>93</v>
      </c>
      <c r="G62" s="37">
        <v>45905</v>
      </c>
      <c r="H62" s="37">
        <v>45912</v>
      </c>
      <c r="I62" s="19"/>
      <c r="J62" s="20"/>
      <c r="K62" s="20"/>
      <c r="L62" s="20"/>
    </row>
    <row r="63" spans="1:12">
      <c r="A63" s="12">
        <v>55</v>
      </c>
      <c r="B63" s="49" t="s">
        <v>213</v>
      </c>
      <c r="C63" s="20"/>
      <c r="D63" s="39"/>
      <c r="E63" s="17">
        <v>1</v>
      </c>
      <c r="F63" s="17" t="s">
        <v>111</v>
      </c>
      <c r="G63" s="37">
        <v>45905</v>
      </c>
      <c r="H63" s="37">
        <v>45912</v>
      </c>
      <c r="I63" s="19"/>
      <c r="J63" s="20"/>
      <c r="K63" s="20"/>
      <c r="L63" s="20"/>
    </row>
    <row r="64" spans="1:12">
      <c r="A64" s="12">
        <v>56</v>
      </c>
      <c r="B64" s="49" t="s">
        <v>214</v>
      </c>
      <c r="C64" s="20"/>
      <c r="D64" s="39"/>
      <c r="E64" s="17">
        <v>1</v>
      </c>
      <c r="F64" s="17" t="s">
        <v>93</v>
      </c>
      <c r="G64" s="37">
        <v>45905</v>
      </c>
      <c r="H64" s="37">
        <v>45912</v>
      </c>
      <c r="I64" s="19"/>
      <c r="J64" s="20"/>
      <c r="K64" s="20"/>
      <c r="L64" s="20"/>
    </row>
    <row r="65" spans="1:12">
      <c r="A65" s="12">
        <v>57</v>
      </c>
      <c r="B65" s="49" t="s">
        <v>215</v>
      </c>
      <c r="C65" s="20"/>
      <c r="D65" s="20"/>
      <c r="E65" s="17" t="s">
        <v>113</v>
      </c>
      <c r="F65" s="17" t="s">
        <v>93</v>
      </c>
      <c r="G65" s="37">
        <v>45905</v>
      </c>
      <c r="H65" s="37">
        <v>45912</v>
      </c>
      <c r="I65" s="19"/>
      <c r="J65" s="20"/>
      <c r="K65" s="20"/>
      <c r="L65" s="20"/>
    </row>
    <row r="66" spans="1:12">
      <c r="A66" s="12">
        <v>58</v>
      </c>
      <c r="B66" s="49" t="s">
        <v>216</v>
      </c>
      <c r="C66" s="20"/>
      <c r="D66" s="39"/>
      <c r="E66" s="17">
        <v>1</v>
      </c>
      <c r="F66" s="17" t="s">
        <v>56</v>
      </c>
      <c r="G66" s="37">
        <v>45905</v>
      </c>
      <c r="H66" s="37">
        <v>45912</v>
      </c>
      <c r="I66" s="19"/>
      <c r="J66" s="20"/>
      <c r="K66" s="20"/>
      <c r="L66" s="20"/>
    </row>
  </sheetData>
  <sortState ref="B9:H77">
    <sortCondition ref="B9"/>
  </sortState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66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L258"/>
  <sheetViews>
    <sheetView zoomScale="98" zoomScaleNormal="45" workbookViewId="0">
      <selection activeCell="O21" sqref="O21"/>
    </sheetView>
  </sheetViews>
  <sheetFormatPr defaultRowHeight="13.8"/>
  <cols>
    <col min="1" max="1" width="4.09765625" customWidth="1"/>
    <col min="2" max="2" width="23.3984375" customWidth="1"/>
    <col min="3" max="3" width="13.3984375" customWidth="1"/>
    <col min="4" max="4" width="7.3984375" customWidth="1"/>
    <col min="5" max="5" width="6.3984375" customWidth="1"/>
    <col min="6" max="6" width="15.5" customWidth="1"/>
    <col min="7" max="7" width="10.8984375" customWidth="1"/>
    <col min="8" max="8" width="11.19921875" customWidth="1"/>
    <col min="9" max="9" width="7.19921875" customWidth="1"/>
  </cols>
  <sheetData>
    <row r="1" spans="1:12" ht="22.2">
      <c r="A1" s="58">
        <v>45913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2">
      <c r="A2" s="59"/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63"/>
      <c r="L3" s="63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63"/>
      <c r="L4" s="63"/>
    </row>
    <row r="5" spans="1:12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63"/>
      <c r="L5" s="63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63"/>
      <c r="L6" s="63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63"/>
      <c r="L7" s="63"/>
    </row>
    <row r="8" spans="1:12" ht="96.6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55</v>
      </c>
      <c r="J8" s="36" t="s">
        <v>31</v>
      </c>
      <c r="K8" s="38" t="s">
        <v>32</v>
      </c>
      <c r="L8" s="36"/>
    </row>
    <row r="9" spans="1:12">
      <c r="A9" s="12">
        <v>1</v>
      </c>
      <c r="B9" s="20"/>
      <c r="C9" s="20"/>
      <c r="D9" s="20"/>
      <c r="E9" s="17"/>
      <c r="F9" s="17"/>
      <c r="G9" s="37"/>
      <c r="H9" s="37"/>
      <c r="I9" s="19"/>
      <c r="J9" s="20"/>
      <c r="K9" s="20"/>
      <c r="L9" s="20"/>
    </row>
    <row r="10" spans="1:12">
      <c r="A10" s="12">
        <v>2</v>
      </c>
      <c r="B10" s="20"/>
      <c r="C10" s="20"/>
      <c r="D10" s="20"/>
      <c r="E10" s="17"/>
      <c r="F10" s="17"/>
      <c r="G10" s="37"/>
      <c r="H10" s="37"/>
      <c r="I10" s="19"/>
      <c r="J10" s="22"/>
      <c r="K10" s="23"/>
      <c r="L10" s="23"/>
    </row>
    <row r="11" spans="1:12">
      <c r="A11" s="12">
        <v>3</v>
      </c>
      <c r="B11" s="20"/>
      <c r="C11" s="20"/>
      <c r="D11" s="20"/>
      <c r="E11" s="17"/>
      <c r="F11" s="17"/>
      <c r="G11" s="37"/>
      <c r="H11" s="37"/>
      <c r="I11" s="19"/>
      <c r="J11" s="22"/>
      <c r="K11" s="20"/>
      <c r="L11" s="20"/>
    </row>
    <row r="12" spans="1:12">
      <c r="A12" s="12">
        <v>4</v>
      </c>
      <c r="B12" s="20"/>
      <c r="C12" s="20"/>
      <c r="D12" s="20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0"/>
      <c r="D13" s="20"/>
      <c r="E13" s="17"/>
      <c r="F13" s="17"/>
      <c r="G13" s="37"/>
      <c r="H13" s="37"/>
      <c r="I13" s="19"/>
      <c r="J13" s="22"/>
      <c r="K13" s="23"/>
      <c r="L13" s="23"/>
    </row>
    <row r="14" spans="1:12">
      <c r="A14" s="12">
        <v>6</v>
      </c>
      <c r="B14" s="20"/>
      <c r="C14" s="20"/>
      <c r="D14" s="20"/>
      <c r="E14" s="17"/>
      <c r="F14" s="17"/>
      <c r="G14" s="37"/>
      <c r="H14" s="37"/>
      <c r="I14" s="19"/>
      <c r="J14" s="22"/>
      <c r="K14" s="23"/>
      <c r="L14" s="23"/>
    </row>
    <row r="15" spans="1:12">
      <c r="A15" s="12">
        <v>7</v>
      </c>
      <c r="B15" s="20"/>
      <c r="C15" s="20"/>
      <c r="D15" s="20"/>
      <c r="E15" s="17"/>
      <c r="F15" s="17"/>
      <c r="G15" s="37"/>
      <c r="H15" s="37"/>
      <c r="I15" s="19"/>
      <c r="J15" s="20"/>
      <c r="K15" s="20"/>
      <c r="L15" s="20"/>
    </row>
    <row r="16" spans="1:12">
      <c r="A16" s="12">
        <v>8</v>
      </c>
      <c r="B16" s="20"/>
      <c r="C16" s="20"/>
      <c r="D16" s="20"/>
      <c r="E16" s="17"/>
      <c r="F16" s="17"/>
      <c r="G16" s="37"/>
      <c r="H16" s="37"/>
      <c r="I16" s="19"/>
      <c r="J16" s="20"/>
      <c r="K16" s="23"/>
      <c r="L16" s="23"/>
    </row>
    <row r="17" spans="1:12">
      <c r="A17" s="12">
        <v>9</v>
      </c>
      <c r="B17" s="20"/>
      <c r="C17" s="20"/>
      <c r="D17" s="20"/>
      <c r="E17" s="17"/>
      <c r="F17" s="17"/>
      <c r="G17" s="37"/>
      <c r="H17" s="37"/>
      <c r="I17" s="19"/>
      <c r="J17" s="22"/>
      <c r="K17" s="23"/>
      <c r="L17" s="23"/>
    </row>
    <row r="18" spans="1:12">
      <c r="A18" s="12">
        <v>10</v>
      </c>
      <c r="B18" s="20"/>
      <c r="C18" s="20"/>
      <c r="D18" s="20"/>
      <c r="E18" s="17"/>
      <c r="F18" s="17"/>
      <c r="G18" s="37"/>
      <c r="H18" s="37"/>
      <c r="I18" s="19"/>
      <c r="J18" s="22"/>
      <c r="K18" s="20"/>
      <c r="L18" s="20"/>
    </row>
    <row r="19" spans="1:12">
      <c r="A19" s="12">
        <v>11</v>
      </c>
      <c r="B19" s="20"/>
      <c r="C19" s="20"/>
      <c r="D19" s="20"/>
      <c r="E19" s="17"/>
      <c r="F19" s="17"/>
      <c r="G19" s="37"/>
      <c r="H19" s="37"/>
      <c r="I19" s="19"/>
      <c r="J19" s="20"/>
      <c r="K19" s="20"/>
      <c r="L19" s="20"/>
    </row>
    <row r="20" spans="1:12">
      <c r="A20" s="12">
        <v>12</v>
      </c>
      <c r="B20" s="12"/>
      <c r="C20" s="20"/>
      <c r="D20" s="17"/>
      <c r="E20" s="16"/>
      <c r="F20" s="17"/>
      <c r="G20" s="18"/>
      <c r="H20" s="18"/>
      <c r="I20" s="20"/>
      <c r="J20" s="20"/>
      <c r="K20" s="23"/>
      <c r="L20" s="23"/>
    </row>
    <row r="21" spans="1:12">
      <c r="A21" s="12">
        <v>13</v>
      </c>
      <c r="B21" s="20"/>
      <c r="C21" s="20"/>
      <c r="D21" s="20"/>
      <c r="E21" s="17"/>
      <c r="F21" s="17"/>
      <c r="G21" s="37"/>
      <c r="H21" s="37"/>
      <c r="I21" s="19"/>
      <c r="J21" s="20"/>
      <c r="K21" s="23"/>
      <c r="L21" s="23"/>
    </row>
    <row r="22" spans="1:12">
      <c r="A22" s="12">
        <v>14</v>
      </c>
      <c r="B22" s="20"/>
      <c r="C22" s="20"/>
      <c r="D22" s="20"/>
      <c r="E22" s="17"/>
      <c r="F22" s="17"/>
      <c r="G22" s="37"/>
      <c r="H22" s="37"/>
      <c r="I22" s="19"/>
      <c r="J22" s="22"/>
      <c r="K22" s="20"/>
      <c r="L22" s="20"/>
    </row>
    <row r="23" spans="1:12">
      <c r="A23" s="12">
        <v>15</v>
      </c>
      <c r="B23" s="12"/>
      <c r="C23" s="21"/>
      <c r="D23" s="17"/>
      <c r="E23" s="16"/>
      <c r="F23" s="17"/>
      <c r="G23" s="18"/>
      <c r="H23" s="18"/>
      <c r="I23" s="20"/>
      <c r="J23" s="20"/>
      <c r="K23" s="20"/>
      <c r="L23" s="20"/>
    </row>
    <row r="24" spans="1:12">
      <c r="A24" s="12">
        <v>16</v>
      </c>
      <c r="B24" s="20"/>
      <c r="C24" s="20"/>
      <c r="D24" s="20"/>
      <c r="E24" s="17"/>
      <c r="F24" s="17"/>
      <c r="G24" s="37"/>
      <c r="H24" s="37"/>
      <c r="I24" s="19"/>
      <c r="J24" s="22"/>
      <c r="K24" s="23"/>
      <c r="L24" s="23"/>
    </row>
    <row r="25" spans="1:12">
      <c r="A25" s="12">
        <v>17</v>
      </c>
      <c r="B25" s="20"/>
      <c r="C25" s="20"/>
      <c r="D25" s="20"/>
      <c r="E25" s="17"/>
      <c r="F25" s="17"/>
      <c r="G25" s="37"/>
      <c r="H25" s="37"/>
      <c r="I25" s="19"/>
      <c r="J25" s="20"/>
      <c r="K25" s="23"/>
      <c r="L25" s="23"/>
    </row>
    <row r="26" spans="1:12">
      <c r="A26" s="12">
        <v>18</v>
      </c>
      <c r="B26" s="20"/>
      <c r="C26" s="20"/>
      <c r="D26" s="20"/>
      <c r="E26" s="17"/>
      <c r="F26" s="17"/>
      <c r="G26" s="37"/>
      <c r="H26" s="37"/>
      <c r="I26" s="19"/>
      <c r="J26" s="22"/>
      <c r="K26" s="23"/>
      <c r="L26" s="23"/>
    </row>
    <row r="27" spans="1:12">
      <c r="A27" s="12">
        <v>19</v>
      </c>
      <c r="B27" s="20"/>
      <c r="C27" s="20"/>
      <c r="D27" s="20"/>
      <c r="E27" s="17"/>
      <c r="F27" s="17"/>
      <c r="G27" s="37"/>
      <c r="H27" s="37"/>
      <c r="I27" s="19"/>
      <c r="J27" s="20"/>
      <c r="K27" s="20"/>
      <c r="L27" s="20"/>
    </row>
    <row r="28" spans="1:12">
      <c r="A28" s="12">
        <v>20</v>
      </c>
      <c r="B28" s="20"/>
      <c r="C28" s="20"/>
      <c r="D28" s="20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20"/>
      <c r="E29" s="17"/>
      <c r="F29" s="17"/>
      <c r="G29" s="37"/>
      <c r="H29" s="37"/>
      <c r="I29" s="19"/>
      <c r="J29" s="22"/>
      <c r="K29" s="23"/>
      <c r="L29" s="23"/>
    </row>
    <row r="30" spans="1:12">
      <c r="A30" s="12">
        <v>22</v>
      </c>
      <c r="B30" s="20"/>
      <c r="C30" s="20"/>
      <c r="D30" s="20"/>
      <c r="E30" s="17"/>
      <c r="F30" s="17"/>
      <c r="G30" s="37"/>
      <c r="H30" s="37"/>
      <c r="I30" s="19"/>
      <c r="J30" s="22"/>
      <c r="K30" s="20"/>
      <c r="L30" s="20"/>
    </row>
    <row r="31" spans="1:12">
      <c r="A31" s="12">
        <v>23</v>
      </c>
      <c r="B31" s="20"/>
      <c r="C31" s="20"/>
      <c r="D31" s="20"/>
      <c r="E31" s="17"/>
      <c r="F31" s="17"/>
      <c r="G31" s="37"/>
      <c r="H31" s="37"/>
      <c r="I31" s="19"/>
      <c r="J31" s="20"/>
      <c r="K31" s="23"/>
      <c r="L31" s="23"/>
    </row>
    <row r="32" spans="1:12">
      <c r="A32" s="12">
        <v>24</v>
      </c>
      <c r="B32" s="20"/>
      <c r="C32" s="20"/>
      <c r="D32" s="20"/>
      <c r="E32" s="17"/>
      <c r="F32" s="17"/>
      <c r="G32" s="37"/>
      <c r="H32" s="37"/>
      <c r="I32" s="19"/>
      <c r="J32" s="22"/>
      <c r="K32" s="20"/>
      <c r="L32" s="20"/>
    </row>
    <row r="33" spans="1:12">
      <c r="A33" s="12">
        <v>25</v>
      </c>
      <c r="B33" s="12"/>
      <c r="C33" s="21"/>
      <c r="D33" s="17"/>
      <c r="E33" s="16"/>
      <c r="F33" s="17"/>
      <c r="G33" s="18"/>
      <c r="H33" s="18"/>
      <c r="I33" s="20"/>
      <c r="J33" s="22"/>
      <c r="K33" s="20"/>
      <c r="L33" s="20"/>
    </row>
    <row r="34" spans="1:12">
      <c r="A34" s="12">
        <v>26</v>
      </c>
      <c r="B34" s="12"/>
      <c r="C34" s="14"/>
      <c r="D34" s="15"/>
      <c r="E34" s="16"/>
      <c r="F34" s="17"/>
      <c r="G34" s="18"/>
      <c r="H34" s="18"/>
      <c r="I34" s="20"/>
      <c r="J34" s="20"/>
      <c r="K34" s="20"/>
      <c r="L34" s="20"/>
    </row>
    <row r="35" spans="1:12">
      <c r="A35" s="12">
        <v>27</v>
      </c>
      <c r="B35" s="12"/>
      <c r="C35" s="14"/>
      <c r="D35" s="17"/>
      <c r="E35" s="16"/>
      <c r="F35" s="17"/>
      <c r="G35" s="18"/>
      <c r="H35" s="18"/>
      <c r="I35" s="20"/>
      <c r="J35" s="20"/>
      <c r="K35" s="20"/>
      <c r="L35" s="20"/>
    </row>
    <row r="36" spans="1:12">
      <c r="A36" s="12">
        <v>28</v>
      </c>
      <c r="B36" s="12"/>
      <c r="C36" s="21"/>
      <c r="D36" s="17"/>
      <c r="E36" s="16"/>
      <c r="F36" s="17"/>
      <c r="G36" s="18"/>
      <c r="H36" s="18"/>
      <c r="I36" s="20"/>
      <c r="J36" s="20"/>
      <c r="K36" s="20"/>
      <c r="L36" s="20"/>
    </row>
    <row r="37" spans="1:12">
      <c r="A37" s="12">
        <v>29</v>
      </c>
      <c r="B37" s="12"/>
      <c r="C37" s="21"/>
      <c r="D37" s="17"/>
      <c r="E37" s="16"/>
      <c r="F37" s="17"/>
      <c r="G37" s="18"/>
      <c r="H37" s="18"/>
      <c r="I37" s="20"/>
      <c r="J37" s="20"/>
      <c r="K37" s="20"/>
      <c r="L37" s="20"/>
    </row>
    <row r="38" spans="1:12">
      <c r="A38" s="12">
        <v>30</v>
      </c>
      <c r="B38" s="12"/>
      <c r="C38" s="21"/>
      <c r="D38" s="17"/>
      <c r="E38" s="21"/>
      <c r="F38" s="16"/>
      <c r="G38" s="18"/>
      <c r="H38" s="18"/>
      <c r="I38" s="20"/>
      <c r="J38" s="20"/>
      <c r="K38" s="20"/>
      <c r="L38" s="20"/>
    </row>
    <row r="39" spans="1:12">
      <c r="A39" s="12">
        <v>31</v>
      </c>
      <c r="B39" s="12"/>
      <c r="C39" s="21"/>
      <c r="D39" s="17"/>
      <c r="E39" s="16"/>
      <c r="F39" s="17"/>
      <c r="G39" s="18"/>
      <c r="H39" s="18"/>
      <c r="I39" s="20"/>
      <c r="J39" s="20"/>
      <c r="K39" s="20"/>
      <c r="L39" s="20"/>
    </row>
    <row r="40" spans="1:12">
      <c r="A40" s="12">
        <v>32</v>
      </c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</row>
    <row r="41" spans="1:12">
      <c r="A41" s="12">
        <v>33</v>
      </c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</row>
    <row r="42" spans="1:12">
      <c r="A42" s="12">
        <v>34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</row>
    <row r="43" spans="1:12">
      <c r="A43" s="12">
        <v>35</v>
      </c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</row>
    <row r="44" spans="1:12">
      <c r="A44" s="12">
        <v>36</v>
      </c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</row>
    <row r="45" spans="1:12">
      <c r="A45" s="12">
        <v>37</v>
      </c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</row>
    <row r="46" spans="1:12">
      <c r="A46" s="12">
        <v>38</v>
      </c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</row>
    <row r="47" spans="1:12">
      <c r="A47" s="12">
        <v>39</v>
      </c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</row>
    <row r="48" spans="1:12">
      <c r="A48" s="12">
        <v>40</v>
      </c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>
      <c r="B124" s="24" t="s">
        <v>1</v>
      </c>
      <c r="C124" s="25" cm="1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 cm="1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 cm="1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 cm="1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 cm="1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 cm="1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 cm="1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 cm="1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 cm="1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 cm="1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 cm="1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 cm="1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 cm="1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 cm="1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 cm="1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 cm="1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 cm="1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 cm="1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 cm="1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>
      <c r="B135" s="24" t="s">
        <v>2</v>
      </c>
      <c r="C135" s="25" cm="1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 cm="1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 cm="1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 cm="1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 cm="1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 cm="1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 cm="1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 cm="1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 cm="1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 cm="1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 cm="1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 cm="1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 cm="1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 cm="1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 cm="1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 cm="1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 cm="1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 cm="1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>
      <c r="B146" s="30" t="s">
        <v>3</v>
      </c>
      <c r="C146" s="25" cm="1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 cm="1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 cm="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 cm="1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 cm="1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 cm="1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 cm="1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 cm="1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 cm="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 cm="1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 cm="1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 cm="1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 cm="1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 cm="1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 cm="1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 cm="1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 cm="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 cm="1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>
      <c r="B157" s="28" t="s">
        <v>42</v>
      </c>
      <c r="C157" s="32" cm="1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 cm="1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 cm="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 cm="1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 cm="1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 cm="1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 cm="1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 cm="1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 cm="1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 cm="1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 cm="1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 cm="1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 cm="1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 cm="1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 cm="1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 cm="1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 cm="1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 cm="1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>
      <c r="B168" s="28" t="s">
        <v>12</v>
      </c>
      <c r="C168" s="25" cm="1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 cm="1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 cm="1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 cm="1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 cm="1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 cm="1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 cm="1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 cm="1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 cm="1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 cm="1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 cm="1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 cm="1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 cm="1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 cm="1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 cm="1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 cm="1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 cm="1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 cm="1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>
      <c r="B179" s="26" t="s">
        <v>43</v>
      </c>
      <c r="C179" s="25" cm="1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 cm="1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 cm="1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 cm="1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 cm="1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 cm="1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 cm="1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 cm="1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 cm="1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 cm="1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 cm="1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 cm="1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 cm="1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 cm="1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 cm="1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 cm="1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 cm="1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 cm="1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>
      <c r="B190" s="28" t="s">
        <v>20</v>
      </c>
      <c r="C190" s="25" cm="1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 cm="1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 cm="1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 cm="1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 cm="1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 cm="1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 cm="1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 cm="1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 cm="1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 cm="1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 cm="1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 cm="1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 cm="1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 cm="1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 cm="1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 cm="1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 cm="1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 cm="1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>
      <c r="B201" s="26" t="s">
        <v>44</v>
      </c>
      <c r="C201" s="25" cm="1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 cm="1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 cm="1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 cm="1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 cm="1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 cm="1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 cm="1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 cm="1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 cm="1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 cm="1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 cm="1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 cm="1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 cm="1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 cm="1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 cm="1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 cm="1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 cm="1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 cm="1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>
      <c r="B212" s="26" t="s">
        <v>13</v>
      </c>
      <c r="C212" s="25" cm="1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 cm="1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 cm="1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 cm="1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 cm="1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 cm="1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 cm="1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 cm="1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 cm="1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 cm="1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 cm="1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 cm="1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 cm="1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 cm="1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 cm="1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 cm="1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 cm="1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 cm="1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>
      <c r="B223" s="26" t="s">
        <v>46</v>
      </c>
      <c r="C223" s="25" cm="1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 cm="1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 cm="1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 cm="1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 cm="1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 cm="1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 cm="1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 cm="1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 cm="1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 cm="1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 cm="1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 cm="1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 cm="1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 cm="1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 cm="1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 cm="1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 cm="1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 cm="1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>
      <c r="B234" s="28" t="s">
        <v>47</v>
      </c>
      <c r="C234" s="25" cm="1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 cm="1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 cm="1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 cm="1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 cm="1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 cm="1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 cm="1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 cm="1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 cm="1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50</v>
      </c>
      <c r="C246" s="20" t="s">
        <v>51</v>
      </c>
      <c r="D246" s="20" t="s">
        <v>52</v>
      </c>
      <c r="E246" s="20" t="s">
        <v>53</v>
      </c>
      <c r="F246" s="20" t="s">
        <v>54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100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L259"/>
  <sheetViews>
    <sheetView topLeftCell="A7" zoomScale="98" zoomScaleNormal="45" workbookViewId="0">
      <selection activeCell="G8" sqref="G8:G42"/>
    </sheetView>
  </sheetViews>
  <sheetFormatPr defaultRowHeight="13.8"/>
  <cols>
    <col min="1" max="1" width="4.09765625" customWidth="1"/>
    <col min="2" max="2" width="23.09765625" customWidth="1"/>
    <col min="3" max="3" width="8.59765625" customWidth="1"/>
    <col min="4" max="4" width="6.69921875" customWidth="1"/>
    <col min="5" max="5" width="7.09765625" customWidth="1"/>
    <col min="6" max="6" width="14.59765625" customWidth="1"/>
    <col min="7" max="7" width="11.3984375" customWidth="1"/>
    <col min="8" max="8" width="10.8984375" customWidth="1"/>
    <col min="9" max="9" width="9.59765625" customWidth="1"/>
  </cols>
  <sheetData>
    <row r="1" spans="1:12" ht="22.2">
      <c r="A1" s="58" t="s">
        <v>156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2">
      <c r="A2" s="59" t="s">
        <v>0</v>
      </c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63"/>
      <c r="L3" s="63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63"/>
      <c r="L4" s="63"/>
    </row>
    <row r="5" spans="1:12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63"/>
      <c r="L5" s="63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63"/>
      <c r="L6" s="63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63"/>
      <c r="L7" s="63"/>
    </row>
    <row r="8" spans="1:12" ht="39.6">
      <c r="A8" s="35" t="s">
        <v>23</v>
      </c>
      <c r="B8" s="35" t="s">
        <v>24</v>
      </c>
      <c r="C8" s="35" t="s">
        <v>25</v>
      </c>
      <c r="D8" s="36" t="s">
        <v>157</v>
      </c>
      <c r="E8" s="35" t="s">
        <v>28</v>
      </c>
      <c r="F8" s="36" t="s">
        <v>29</v>
      </c>
      <c r="G8" s="36" t="s">
        <v>55</v>
      </c>
      <c r="H8" s="36" t="s">
        <v>31</v>
      </c>
      <c r="I8" s="38" t="s">
        <v>32</v>
      </c>
      <c r="J8" s="36"/>
    </row>
    <row r="9" spans="1:12">
      <c r="A9" s="12">
        <v>1</v>
      </c>
      <c r="B9" s="20"/>
      <c r="C9" s="20"/>
      <c r="D9" s="17"/>
      <c r="E9" s="17"/>
      <c r="F9" s="37"/>
      <c r="G9" s="19"/>
      <c r="H9" s="22"/>
      <c r="I9" s="20"/>
      <c r="J9" s="20"/>
    </row>
    <row r="10" spans="1:12">
      <c r="A10" s="12">
        <v>2</v>
      </c>
      <c r="B10" s="20"/>
      <c r="C10" s="20"/>
      <c r="D10" s="17"/>
      <c r="E10" s="17"/>
      <c r="F10" s="37"/>
      <c r="G10" s="19"/>
      <c r="H10" s="20"/>
      <c r="I10" s="23"/>
      <c r="J10" s="23"/>
    </row>
    <row r="11" spans="1:12">
      <c r="A11" s="12">
        <v>3</v>
      </c>
      <c r="B11" s="20"/>
      <c r="C11" s="20"/>
      <c r="D11" s="17"/>
      <c r="E11" s="17"/>
      <c r="F11" s="37"/>
      <c r="G11" s="19"/>
      <c r="H11" s="22"/>
      <c r="I11" s="23"/>
      <c r="J11" s="23"/>
    </row>
    <row r="12" spans="1:12">
      <c r="A12" s="12">
        <v>4</v>
      </c>
      <c r="B12" s="20"/>
      <c r="C12" s="20"/>
      <c r="D12" s="17"/>
      <c r="E12" s="17"/>
      <c r="F12" s="37"/>
      <c r="G12" s="19"/>
      <c r="H12" s="20"/>
      <c r="I12" s="20"/>
      <c r="J12" s="20"/>
    </row>
    <row r="13" spans="1:12">
      <c r="A13" s="12">
        <v>5</v>
      </c>
      <c r="B13" s="20"/>
      <c r="C13" s="20"/>
      <c r="D13" s="17"/>
      <c r="E13" s="17"/>
      <c r="F13" s="37"/>
      <c r="G13" s="19"/>
      <c r="H13" s="22"/>
      <c r="I13" s="20"/>
      <c r="J13" s="20"/>
    </row>
    <row r="14" spans="1:12">
      <c r="A14" s="12">
        <v>6</v>
      </c>
      <c r="B14" s="20"/>
      <c r="C14" s="20"/>
      <c r="D14" s="17"/>
      <c r="E14" s="17"/>
      <c r="F14" s="37"/>
      <c r="G14" s="19"/>
      <c r="H14" s="20"/>
      <c r="I14" s="23"/>
      <c r="J14" s="23"/>
    </row>
    <row r="15" spans="1:12">
      <c r="A15" s="12">
        <v>7</v>
      </c>
      <c r="B15" s="20"/>
      <c r="C15" s="20"/>
      <c r="D15" s="17"/>
      <c r="E15" s="17"/>
      <c r="F15" s="37"/>
      <c r="G15" s="19"/>
      <c r="H15" s="20"/>
      <c r="I15" s="23"/>
      <c r="J15" s="23"/>
    </row>
    <row r="16" spans="1:12">
      <c r="A16" s="12">
        <v>8</v>
      </c>
      <c r="B16" s="20"/>
      <c r="C16" s="20"/>
      <c r="D16" s="17"/>
      <c r="E16" s="17"/>
      <c r="F16" s="37"/>
      <c r="G16" s="19"/>
      <c r="H16" s="20"/>
      <c r="I16" s="20"/>
      <c r="J16" s="20"/>
    </row>
    <row r="17" spans="1:10">
      <c r="A17" s="12">
        <v>9</v>
      </c>
      <c r="B17" s="20"/>
      <c r="C17" s="20"/>
      <c r="D17" s="17"/>
      <c r="E17" s="17"/>
      <c r="F17" s="37"/>
      <c r="G17" s="19"/>
      <c r="H17" s="22"/>
      <c r="I17" s="23"/>
      <c r="J17" s="23"/>
    </row>
    <row r="18" spans="1:10">
      <c r="A18" s="12">
        <v>9</v>
      </c>
      <c r="B18" s="20"/>
      <c r="C18" s="20"/>
      <c r="D18" s="17"/>
      <c r="E18" s="17"/>
      <c r="F18" s="37"/>
      <c r="G18" s="19"/>
      <c r="H18" s="22"/>
      <c r="I18" s="23"/>
      <c r="J18" s="23"/>
    </row>
    <row r="19" spans="1:10">
      <c r="A19" s="12">
        <v>10</v>
      </c>
      <c r="B19" s="20"/>
      <c r="C19" s="20"/>
      <c r="D19" s="17"/>
      <c r="E19" s="17"/>
      <c r="F19" s="37"/>
      <c r="G19" s="19"/>
      <c r="H19" s="22"/>
      <c r="I19" s="20"/>
      <c r="J19" s="20"/>
    </row>
    <row r="20" spans="1:10">
      <c r="A20" s="12">
        <v>11</v>
      </c>
      <c r="B20" s="20"/>
      <c r="C20" s="20"/>
      <c r="D20" s="17"/>
      <c r="E20" s="17"/>
      <c r="F20" s="37"/>
      <c r="G20" s="19"/>
      <c r="H20" s="22"/>
      <c r="I20" s="20"/>
      <c r="J20" s="20"/>
    </row>
    <row r="21" spans="1:10">
      <c r="A21" s="12">
        <v>12</v>
      </c>
      <c r="B21" s="20"/>
      <c r="C21" s="20"/>
      <c r="D21" s="17"/>
      <c r="E21" s="17"/>
      <c r="F21" s="37"/>
      <c r="G21" s="19"/>
      <c r="H21" s="20"/>
      <c r="I21" s="23"/>
      <c r="J21" s="23"/>
    </row>
    <row r="22" spans="1:10">
      <c r="A22" s="12">
        <v>13</v>
      </c>
      <c r="B22" s="20"/>
      <c r="C22" s="20"/>
      <c r="D22" s="17"/>
      <c r="E22" s="17"/>
      <c r="F22" s="37"/>
      <c r="G22" s="19"/>
      <c r="H22" s="20"/>
      <c r="I22" s="23"/>
      <c r="J22" s="23"/>
    </row>
    <row r="23" spans="1:10">
      <c r="A23" s="12">
        <v>14</v>
      </c>
      <c r="B23" s="20"/>
      <c r="C23" s="20"/>
      <c r="D23" s="17"/>
      <c r="E23" s="17"/>
      <c r="F23" s="37"/>
      <c r="G23" s="19"/>
      <c r="H23" s="22"/>
      <c r="I23" s="20"/>
      <c r="J23" s="20"/>
    </row>
    <row r="24" spans="1:10">
      <c r="A24" s="12">
        <v>15</v>
      </c>
      <c r="B24" s="20"/>
      <c r="C24" s="20"/>
      <c r="D24" s="17"/>
      <c r="E24" s="17"/>
      <c r="F24" s="37"/>
      <c r="G24" s="19"/>
      <c r="H24" s="20"/>
      <c r="I24" s="20"/>
      <c r="J24" s="20"/>
    </row>
    <row r="25" spans="1:10">
      <c r="A25" s="12">
        <v>16</v>
      </c>
      <c r="B25" s="20"/>
      <c r="C25" s="20"/>
      <c r="D25" s="17"/>
      <c r="E25" s="17"/>
      <c r="F25" s="37"/>
      <c r="G25" s="19"/>
      <c r="H25" s="22"/>
      <c r="I25" s="23"/>
      <c r="J25" s="23"/>
    </row>
    <row r="26" spans="1:10">
      <c r="A26" s="12">
        <v>17</v>
      </c>
      <c r="B26" s="20"/>
      <c r="C26" s="20"/>
      <c r="D26" s="17"/>
      <c r="E26" s="17"/>
      <c r="F26" s="37"/>
      <c r="G26" s="19"/>
      <c r="H26" s="22"/>
      <c r="I26" s="23"/>
      <c r="J26" s="23"/>
    </row>
    <row r="27" spans="1:10">
      <c r="A27" s="12">
        <v>18</v>
      </c>
      <c r="B27" s="20"/>
      <c r="C27" s="20"/>
      <c r="D27" s="17"/>
      <c r="E27" s="17"/>
      <c r="F27" s="37"/>
      <c r="G27" s="19"/>
      <c r="H27" s="22"/>
      <c r="I27" s="23"/>
      <c r="J27" s="23"/>
    </row>
    <row r="28" spans="1:10">
      <c r="A28" s="12">
        <v>19</v>
      </c>
      <c r="B28" s="20"/>
      <c r="C28" s="20"/>
      <c r="D28" s="17"/>
      <c r="E28" s="17"/>
      <c r="F28" s="37"/>
      <c r="G28" s="20"/>
      <c r="H28" s="20"/>
      <c r="I28" s="20"/>
      <c r="J28" s="20"/>
    </row>
    <row r="29" spans="1:10">
      <c r="A29" s="12">
        <v>20</v>
      </c>
      <c r="B29" s="20"/>
      <c r="C29" s="20"/>
      <c r="D29" s="17"/>
      <c r="E29" s="17"/>
      <c r="F29" s="37"/>
      <c r="G29" s="19"/>
      <c r="H29" s="22"/>
      <c r="I29" s="23"/>
      <c r="J29" s="23"/>
    </row>
    <row r="30" spans="1:10">
      <c r="A30" s="12">
        <v>21</v>
      </c>
      <c r="B30" s="20"/>
      <c r="C30" s="20"/>
      <c r="D30" s="17"/>
      <c r="E30" s="17"/>
      <c r="F30" s="37"/>
      <c r="G30" s="20"/>
      <c r="H30" s="22"/>
      <c r="I30" s="23"/>
      <c r="J30" s="23"/>
    </row>
    <row r="31" spans="1:10">
      <c r="A31" s="12">
        <v>22</v>
      </c>
      <c r="B31" s="20"/>
      <c r="C31" s="20"/>
      <c r="D31" s="17"/>
      <c r="E31" s="17"/>
      <c r="F31" s="37"/>
      <c r="G31" s="19"/>
      <c r="H31" s="20"/>
      <c r="I31" s="20"/>
      <c r="J31" s="20"/>
    </row>
    <row r="32" spans="1:10">
      <c r="A32" s="12">
        <v>23</v>
      </c>
      <c r="B32" s="12"/>
      <c r="C32" s="21"/>
      <c r="D32" s="16"/>
      <c r="E32" s="17"/>
      <c r="F32" s="18"/>
      <c r="G32" s="20"/>
      <c r="H32" s="22"/>
      <c r="I32" s="23"/>
      <c r="J32" s="23"/>
    </row>
    <row r="33" spans="1:12">
      <c r="A33" s="12">
        <v>24</v>
      </c>
      <c r="B33" s="12"/>
      <c r="C33" s="21"/>
      <c r="D33" s="16"/>
      <c r="E33" s="17"/>
      <c r="F33" s="18"/>
      <c r="G33" s="20"/>
      <c r="H33" s="20"/>
      <c r="I33" s="20"/>
      <c r="J33" s="20"/>
    </row>
    <row r="34" spans="1:12">
      <c r="A34" s="12">
        <v>25</v>
      </c>
      <c r="B34" s="12"/>
      <c r="C34" s="21"/>
      <c r="D34" s="16"/>
      <c r="E34" s="17"/>
      <c r="F34" s="18"/>
      <c r="G34" s="20"/>
      <c r="H34" s="20"/>
      <c r="I34" s="20"/>
      <c r="J34" s="20"/>
    </row>
    <row r="35" spans="1:12">
      <c r="A35" s="12">
        <v>26</v>
      </c>
      <c r="B35" s="12"/>
      <c r="C35" s="14"/>
      <c r="D35" s="16"/>
      <c r="E35" s="17"/>
      <c r="F35" s="18"/>
      <c r="G35" s="20"/>
      <c r="H35" s="20"/>
      <c r="I35" s="20"/>
      <c r="J35" s="20"/>
    </row>
    <row r="36" spans="1:12">
      <c r="A36" s="12">
        <v>27</v>
      </c>
      <c r="B36" s="12"/>
      <c r="C36" s="14"/>
      <c r="D36" s="16"/>
      <c r="E36" s="17"/>
      <c r="F36" s="18"/>
      <c r="G36" s="20"/>
      <c r="H36" s="20"/>
      <c r="I36" s="20"/>
      <c r="J36" s="20"/>
    </row>
    <row r="37" spans="1:12">
      <c r="A37" s="12">
        <v>28</v>
      </c>
      <c r="B37" s="12"/>
      <c r="C37" s="21"/>
      <c r="D37" s="17"/>
      <c r="E37" s="16"/>
      <c r="F37" s="17"/>
      <c r="G37" s="18"/>
      <c r="H37" s="20"/>
      <c r="I37" s="20"/>
      <c r="J37" s="20"/>
      <c r="K37" s="20"/>
    </row>
    <row r="38" spans="1:12">
      <c r="A38" s="12">
        <v>29</v>
      </c>
      <c r="B38" s="12"/>
      <c r="C38" s="21"/>
      <c r="D38" s="17"/>
      <c r="E38" s="16"/>
      <c r="F38" s="17"/>
      <c r="G38" s="18"/>
      <c r="H38" s="20"/>
      <c r="I38" s="20"/>
      <c r="J38" s="20"/>
      <c r="K38" s="20"/>
    </row>
    <row r="39" spans="1:12">
      <c r="A39" s="12">
        <v>30</v>
      </c>
      <c r="B39" s="12"/>
      <c r="C39" s="21"/>
      <c r="D39" s="17"/>
      <c r="E39" s="21"/>
      <c r="F39" s="16"/>
      <c r="G39" s="18"/>
      <c r="H39" s="20"/>
      <c r="I39" s="20"/>
      <c r="J39" s="20"/>
      <c r="K39" s="20"/>
    </row>
    <row r="40" spans="1:12">
      <c r="A40" s="12">
        <v>31</v>
      </c>
      <c r="B40" s="12"/>
      <c r="C40" s="21"/>
      <c r="D40" s="17"/>
      <c r="E40" s="16"/>
      <c r="F40" s="17"/>
      <c r="G40" s="18"/>
      <c r="H40" s="20"/>
      <c r="I40" s="20"/>
      <c r="J40" s="20"/>
      <c r="K40" s="20"/>
    </row>
    <row r="41" spans="1:12">
      <c r="A41" s="12">
        <v>32</v>
      </c>
      <c r="B41" s="20"/>
      <c r="C41" s="20"/>
      <c r="D41" s="20"/>
      <c r="E41" s="20"/>
      <c r="F41" s="20"/>
      <c r="G41" s="20"/>
      <c r="H41" s="20"/>
      <c r="I41" s="20"/>
      <c r="J41" s="20"/>
      <c r="K41" s="20"/>
    </row>
    <row r="42" spans="1:12">
      <c r="A42" s="12">
        <v>33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</row>
    <row r="43" spans="1:12">
      <c r="A43" s="12">
        <v>34</v>
      </c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</row>
    <row r="44" spans="1:12">
      <c r="A44" s="12">
        <v>35</v>
      </c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</row>
    <row r="45" spans="1:12">
      <c r="A45" s="12">
        <v>36</v>
      </c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</row>
    <row r="46" spans="1:12">
      <c r="A46" s="12">
        <v>37</v>
      </c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</row>
    <row r="47" spans="1:12">
      <c r="A47" s="12">
        <v>38</v>
      </c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</row>
    <row r="48" spans="1:12">
      <c r="A48" s="12">
        <v>39</v>
      </c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</row>
    <row r="49" spans="1:12">
      <c r="A49" s="12">
        <v>40</v>
      </c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</row>
    <row r="50" spans="1:12">
      <c r="A50" s="12">
        <v>41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42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43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44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45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46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47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48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49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50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51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52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53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54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55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56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57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58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59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60</v>
      </c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</row>
    <row r="70" spans="1:12">
      <c r="A70" s="12">
        <v>61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62</v>
      </c>
      <c r="B71" s="12"/>
      <c r="C71" s="21"/>
      <c r="D71" s="17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63</v>
      </c>
      <c r="B72" s="13"/>
      <c r="C72" s="14"/>
      <c r="D72" s="15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64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65</v>
      </c>
      <c r="B74" s="12"/>
      <c r="C74" s="21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66</v>
      </c>
      <c r="B75" s="12"/>
      <c r="C75" s="14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67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68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69</v>
      </c>
      <c r="B78" s="12"/>
      <c r="C78" s="21"/>
      <c r="D78" s="17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70</v>
      </c>
      <c r="B79" s="12"/>
      <c r="C79" s="14"/>
      <c r="D79" s="15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71</v>
      </c>
      <c r="B80" s="12"/>
      <c r="C80" s="14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72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73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74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75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76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66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78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79</v>
      </c>
      <c r="B88" s="12"/>
      <c r="C88" s="21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80</v>
      </c>
      <c r="B89" s="12"/>
      <c r="C89" s="14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81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82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83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84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85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86</v>
      </c>
      <c r="B95" s="12"/>
      <c r="C95" s="21"/>
      <c r="D95" s="17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87</v>
      </c>
      <c r="B96" s="13"/>
      <c r="C96" s="14"/>
      <c r="D96" s="15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88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89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90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91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92</v>
      </c>
      <c r="B101" s="12"/>
      <c r="C101" s="21"/>
      <c r="D101" s="17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93</v>
      </c>
      <c r="B102" s="12"/>
      <c r="C102" s="14"/>
      <c r="D102" s="15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94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95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96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97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98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99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100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101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102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103</v>
      </c>
      <c r="B113" s="12"/>
      <c r="C113" s="21"/>
      <c r="D113" s="17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104</v>
      </c>
      <c r="B114" s="13"/>
      <c r="C114" s="14"/>
      <c r="D114" s="15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105</v>
      </c>
      <c r="B115" s="12"/>
      <c r="C115" s="21"/>
      <c r="D115" s="17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106</v>
      </c>
      <c r="B116" s="13"/>
      <c r="C116" s="14"/>
      <c r="D116" s="15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107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108</v>
      </c>
      <c r="B118" s="12"/>
      <c r="C118" s="21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119</v>
      </c>
      <c r="B119" s="12"/>
      <c r="C119" s="14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110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1" spans="1:12">
      <c r="A121" s="12">
        <v>111</v>
      </c>
      <c r="B121" s="12"/>
      <c r="C121" s="21"/>
      <c r="D121" s="17"/>
      <c r="E121" s="16"/>
      <c r="F121" s="17"/>
      <c r="G121" s="18"/>
      <c r="H121" s="18"/>
      <c r="I121" s="20"/>
      <c r="J121" s="20"/>
      <c r="K121" s="20"/>
      <c r="L121" s="20"/>
    </row>
    <row r="124" spans="1:12">
      <c r="B124" s="24" t="s">
        <v>1</v>
      </c>
      <c r="C124" s="25" cm="1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 cm="1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 cm="1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 cm="1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 cm="1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 cm="1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 cm="1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 cm="1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 cm="1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 cm="1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 cm="1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 cm="1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 cm="1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 cm="1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 cm="1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 cm="1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 cm="1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 cm="1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 cm="1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>
      <c r="B135" s="24" t="s">
        <v>2</v>
      </c>
      <c r="C135" s="25" cm="1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 cm="1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 cm="1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 cm="1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 cm="1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 cm="1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 cm="1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 cm="1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 cm="1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 cm="1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 cm="1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 cm="1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 cm="1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 cm="1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 cm="1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 cm="1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 cm="1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 cm="1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>
      <c r="B146" s="30" t="s">
        <v>3</v>
      </c>
      <c r="C146" s="25" cm="1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 cm="1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 cm="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 cm="1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 cm="1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 cm="1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 cm="1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 cm="1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 cm="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 cm="1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 cm="1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 cm="1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 cm="1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 cm="1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 cm="1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 cm="1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 cm="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 cm="1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>
      <c r="B157" s="28" t="s">
        <v>42</v>
      </c>
      <c r="C157" s="32" cm="1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 cm="1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 cm="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 cm="1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 cm="1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 cm="1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 cm="1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 cm="1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 cm="1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 cm="1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 cm="1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 cm="1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 cm="1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 cm="1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 cm="1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 cm="1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 cm="1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 cm="1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>
      <c r="B168" s="28" t="s">
        <v>12</v>
      </c>
      <c r="C168" s="25" cm="1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 cm="1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 cm="1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 cm="1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 cm="1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 cm="1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 cm="1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 cm="1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 cm="1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 cm="1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 cm="1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 cm="1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 cm="1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 cm="1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 cm="1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 cm="1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 cm="1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 cm="1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>
      <c r="B179" s="26" t="s">
        <v>43</v>
      </c>
      <c r="C179" s="25" cm="1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 cm="1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 cm="1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 cm="1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 cm="1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 cm="1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 cm="1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 cm="1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 cm="1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 cm="1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 cm="1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 cm="1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 cm="1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 cm="1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 cm="1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 cm="1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 cm="1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 cm="1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>
      <c r="B190" s="28" t="s">
        <v>20</v>
      </c>
      <c r="C190" s="25" cm="1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 cm="1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 cm="1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 cm="1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 cm="1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 cm="1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 cm="1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 cm="1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 cm="1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 cm="1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 cm="1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 cm="1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 cm="1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 cm="1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 cm="1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 cm="1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 cm="1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 cm="1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>
      <c r="B201" s="26" t="s">
        <v>44</v>
      </c>
      <c r="C201" s="25" cm="1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 cm="1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 cm="1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 cm="1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 cm="1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 cm="1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 cm="1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 cm="1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 cm="1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 cm="1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 cm="1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 cm="1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 cm="1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 cm="1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 cm="1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 cm="1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 cm="1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 cm="1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>
      <c r="B212" s="26" t="s">
        <v>13</v>
      </c>
      <c r="C212" s="25" cm="1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 cm="1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 cm="1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 cm="1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 cm="1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 cm="1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 cm="1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 cm="1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 cm="1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 cm="1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 cm="1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 cm="1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 cm="1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 cm="1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 cm="1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 cm="1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 cm="1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 cm="1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>
      <c r="B223" s="26" t="s">
        <v>46</v>
      </c>
      <c r="C223" s="25" cm="1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 cm="1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 cm="1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 cm="1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 cm="1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 cm="1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 cm="1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 cm="1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 cm="1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 cm="1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 cm="1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 cm="1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 cm="1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 cm="1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 cm="1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 cm="1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 cm="1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 cm="1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>
      <c r="B234" s="28" t="s">
        <v>47</v>
      </c>
      <c r="C234" s="25" cm="1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 cm="1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 cm="1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 cm="1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 cm="1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 cm="1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 cm="1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 cm="1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 cm="1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4" spans="2:7">
      <c r="B244" s="20" t="s">
        <v>41</v>
      </c>
      <c r="C244" s="27">
        <f>(C235)- SUM(C236:C243)</f>
        <v>0</v>
      </c>
      <c r="D244" s="20"/>
      <c r="E244" s="20"/>
      <c r="F244" s="20"/>
      <c r="G244" s="20"/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 t="e" cm="1">
        <f t="array" aca="1" ref="B248" ca="1">_xludf.FILTER($B$9:$B$101, ISNUMBER(MATCH($C$9:$C$101, {"BSCE","BSCHEM","BSFT","BS-Arch","SHS-STEM"}, 0)), "")</f>
        <v>#NAME?</v>
      </c>
      <c r="C248" s="20" t="e" cm="1">
        <f t="array" aca="1" ref="C248" ca="1">_xludf.FILTER($B$9:$B$101, ISNUMBER(MATCH($C$9:$C$101,
{"BSTCM","BSCS","BSDS","BSEMT","BSEMT-MR","BSET-ES","BSET-TN","BSESM-EMCM","BSESM-PSPE","BSMET","BTOM","BSECT","BSETM","BS-ArchMT","BSIT (Industral Tech)","BSEST","BSES-EMT","BSES-NRM","BS-ArchM","COT","BEED","DT-SPED"}, 0)), "")</f>
        <v>#NAME?</v>
      </c>
      <c r="D248" s="20" t="e" cm="1">
        <f t="array" aca="1" ref="D248" ca="1">_xludf.FILTER($B$9:$B$101, ISNUMBER(MATCH($C$9:$C$101, {"BS-Arch","BSCPE","BSEE","BSECE","BSGE","BSME"}, 0)), "")</f>
        <v>#NAME?</v>
      </c>
      <c r="E248" s="20" t="e" cm="1">
        <f t="array" aca="1" ref="E248" ca="1">_xludf.FILTER($B$9:$B$101, (ISNUMBER(SEARCH("BSIT", $C$9:$C$101)) + ISNUMBER(SEARCH("BTVTED", $C$9:$C$101)) + ISNUMBER(SEARCH("BSED", $C$9:$C$101)) + ISNUMBER(SEARCH("BTLED", $C$9:$C$101))) &gt; 0, "")</f>
        <v>#NAME?</v>
      </c>
      <c r="F248" s="20" t="e" cm="1">
        <f t="array" aca="1" ref="F248" ca="1">_xludf.FILTER($B$9:$B$101, ISNUMBER(MATCH($C$9:$C$101,
{"MEP-ECE","MS-AMS","PHD EGY-ENG","PHD-EMP","PHD-EPA","PHD-MSME","PHD MSAMS","PHD-SCIEDD","BTE","MEP-CE","MPSI","MS-EPA","MS-EST","MAT-SPED","MTTE","MITO","MIT","MS-TCM","MEP-ME","MEP-EE","MS-EE","PSM","MS-ES","MA-TESL","MS-SCIED","MST-PS","MS-ME","MST-MATH"}, 0)), "")</f>
        <v>#NAME?</v>
      </c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  <row r="259" spans="2:6">
      <c r="B259" s="20"/>
      <c r="C259" s="20"/>
      <c r="D259" s="20"/>
      <c r="E259" s="20"/>
      <c r="F259" s="20"/>
    </row>
  </sheetData>
  <sortState ref="B9:H39">
    <sortCondition ref="B9"/>
  </sortState>
  <mergeCells count="5">
    <mergeCell ref="A1:L1"/>
    <mergeCell ref="A2:L2"/>
    <mergeCell ref="F3:H3"/>
    <mergeCell ref="K3:L7"/>
    <mergeCell ref="C5:E5"/>
  </mergeCells>
  <phoneticPr fontId="9" type="noConversion"/>
  <dataValidations count="2">
    <dataValidation type="list" allowBlank="1" showInputMessage="1" showErrorMessage="1" sqref="C101">
      <formula1>#REF!</formula1>
    </dataValidation>
    <dataValidation type="list" errorStyle="information" allowBlank="1" showInputMessage="1" showErrorMessage="1" errorTitle="Please Check Entry" error="It is recommended to pick a course from the list." sqref="C9:C100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67"/>
  <sheetViews>
    <sheetView topLeftCell="A52" zoomScale="98" zoomScaleNormal="45" workbookViewId="0">
      <selection activeCell="B9" sqref="B9:B67"/>
    </sheetView>
  </sheetViews>
  <sheetFormatPr defaultRowHeight="13.8"/>
  <cols>
    <col min="1" max="1" width="4.09765625" customWidth="1"/>
    <col min="2" max="2" width="22.5" customWidth="1"/>
    <col min="3" max="3" width="11.59765625" customWidth="1"/>
    <col min="4" max="4" width="11.3984375" customWidth="1"/>
    <col min="5" max="5" width="5.3984375" customWidth="1"/>
    <col min="6" max="6" width="14.8984375" customWidth="1"/>
    <col min="7" max="7" width="9.8984375" customWidth="1"/>
    <col min="8" max="8" width="11.09765625" customWidth="1"/>
    <col min="9" max="9" width="8.69921875" customWidth="1"/>
  </cols>
  <sheetData>
    <row r="1" spans="1:17" ht="22.2">
      <c r="A1" s="58">
        <v>45915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7">
      <c r="A2" s="59" t="s">
        <v>0</v>
      </c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7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63"/>
      <c r="L3" s="63"/>
    </row>
    <row r="4" spans="1:17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63"/>
      <c r="L4" s="63"/>
    </row>
    <row r="5" spans="1:17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63"/>
      <c r="L5" s="63"/>
    </row>
    <row r="6" spans="1:17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63"/>
      <c r="L6" s="63"/>
    </row>
    <row r="7" spans="1:17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63"/>
      <c r="L7" s="63"/>
    </row>
    <row r="8" spans="1:17" ht="82.8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7">
      <c r="A9" s="12">
        <v>1</v>
      </c>
      <c r="B9" s="20" t="s">
        <v>159</v>
      </c>
      <c r="C9" s="20"/>
      <c r="D9" s="20"/>
      <c r="E9" s="17" t="s">
        <v>58</v>
      </c>
      <c r="F9" s="17" t="s">
        <v>62</v>
      </c>
      <c r="G9" s="37">
        <v>45908</v>
      </c>
      <c r="H9" s="37">
        <v>45915</v>
      </c>
      <c r="I9" s="19"/>
      <c r="J9" s="20"/>
      <c r="K9" s="20"/>
      <c r="L9" s="20"/>
    </row>
    <row r="10" spans="1:17">
      <c r="A10" s="12">
        <v>2</v>
      </c>
      <c r="B10" s="20" t="s">
        <v>160</v>
      </c>
      <c r="C10" s="20"/>
      <c r="D10" s="20"/>
      <c r="E10" s="17">
        <v>1</v>
      </c>
      <c r="F10" s="17" t="s">
        <v>60</v>
      </c>
      <c r="G10" s="37">
        <v>45908</v>
      </c>
      <c r="H10" s="37">
        <v>45915</v>
      </c>
      <c r="I10" s="19"/>
      <c r="J10" s="22"/>
      <c r="K10" s="23"/>
      <c r="L10" s="23"/>
    </row>
    <row r="11" spans="1:17">
      <c r="A11" s="12">
        <v>3</v>
      </c>
      <c r="B11" s="20" t="s">
        <v>161</v>
      </c>
      <c r="C11" s="20"/>
      <c r="D11" s="20"/>
      <c r="E11" s="17" t="s">
        <v>90</v>
      </c>
      <c r="F11" s="17" t="s">
        <v>59</v>
      </c>
      <c r="G11" s="37">
        <v>45908</v>
      </c>
      <c r="H11" s="37">
        <v>45915</v>
      </c>
      <c r="I11" s="19"/>
      <c r="J11" s="20"/>
      <c r="K11" s="20"/>
      <c r="L11" s="20"/>
    </row>
    <row r="12" spans="1:17">
      <c r="A12" s="12">
        <v>4</v>
      </c>
      <c r="B12" s="20" t="s">
        <v>162</v>
      </c>
      <c r="C12" s="20"/>
      <c r="D12" s="20"/>
      <c r="E12" s="17">
        <v>1</v>
      </c>
      <c r="F12" s="17" t="s">
        <v>57</v>
      </c>
      <c r="G12" s="37">
        <v>45908</v>
      </c>
      <c r="H12" s="37">
        <v>45915</v>
      </c>
      <c r="I12" s="19"/>
      <c r="J12" s="20"/>
      <c r="K12" s="20"/>
      <c r="L12" s="20"/>
    </row>
    <row r="13" spans="1:17">
      <c r="A13" s="12">
        <v>5</v>
      </c>
      <c r="B13" s="20" t="s">
        <v>163</v>
      </c>
      <c r="C13" s="20"/>
      <c r="D13" s="20"/>
      <c r="E13" s="17" t="s">
        <v>90</v>
      </c>
      <c r="F13" s="17" t="s">
        <v>62</v>
      </c>
      <c r="G13" s="37">
        <v>45908</v>
      </c>
      <c r="H13" s="37">
        <v>45915</v>
      </c>
      <c r="I13" s="19"/>
      <c r="J13" s="22"/>
      <c r="K13" s="23"/>
      <c r="L13" s="23"/>
    </row>
    <row r="14" spans="1:17">
      <c r="A14" s="12">
        <v>6</v>
      </c>
      <c r="B14" s="20" t="s">
        <v>164</v>
      </c>
      <c r="C14" s="20"/>
      <c r="D14" s="20"/>
      <c r="E14" s="17">
        <v>1</v>
      </c>
      <c r="F14" s="17" t="s">
        <v>57</v>
      </c>
      <c r="G14" s="37">
        <v>45908</v>
      </c>
      <c r="H14" s="37">
        <v>45915</v>
      </c>
      <c r="I14" s="19"/>
      <c r="J14" s="22"/>
      <c r="K14" s="23"/>
      <c r="L14" s="23"/>
    </row>
    <row r="15" spans="1:17">
      <c r="A15" s="12">
        <v>7</v>
      </c>
      <c r="B15" s="20" t="s">
        <v>165</v>
      </c>
      <c r="C15" s="20"/>
      <c r="D15" s="20"/>
      <c r="E15" s="17">
        <v>3</v>
      </c>
      <c r="F15" s="17" t="s">
        <v>57</v>
      </c>
      <c r="G15" s="37">
        <v>45908</v>
      </c>
      <c r="H15" s="37">
        <v>45915</v>
      </c>
      <c r="I15" s="19"/>
      <c r="J15" s="20"/>
      <c r="K15" s="20"/>
      <c r="L15" s="20"/>
    </row>
    <row r="16" spans="1:17">
      <c r="A16" s="12">
        <v>8</v>
      </c>
      <c r="B16" s="20" t="s">
        <v>166</v>
      </c>
      <c r="C16" s="21"/>
      <c r="D16" s="17"/>
      <c r="E16" s="17">
        <v>1</v>
      </c>
      <c r="F16" s="17" t="s">
        <v>56</v>
      </c>
      <c r="G16" s="37">
        <v>45908</v>
      </c>
      <c r="H16" s="37">
        <v>45915</v>
      </c>
      <c r="I16" s="19"/>
      <c r="J16" s="22"/>
      <c r="K16" s="23"/>
      <c r="L16" s="23"/>
      <c r="Q16" t="s">
        <v>81</v>
      </c>
    </row>
    <row r="17" spans="1:12">
      <c r="A17" s="12">
        <v>9</v>
      </c>
      <c r="B17" s="20" t="s">
        <v>167</v>
      </c>
      <c r="C17" s="20"/>
      <c r="D17" s="20"/>
      <c r="E17" s="17">
        <v>1</v>
      </c>
      <c r="F17" s="17" t="s">
        <v>57</v>
      </c>
      <c r="G17" s="37">
        <v>45908</v>
      </c>
      <c r="H17" s="37">
        <v>45915</v>
      </c>
      <c r="I17" s="19"/>
      <c r="J17" s="22"/>
      <c r="K17" s="23"/>
      <c r="L17" s="23"/>
    </row>
    <row r="18" spans="1:12">
      <c r="A18" s="12">
        <v>10</v>
      </c>
      <c r="B18" s="20" t="s">
        <v>168</v>
      </c>
      <c r="C18" s="20"/>
      <c r="D18" s="20"/>
      <c r="E18" s="17" t="s">
        <v>58</v>
      </c>
      <c r="F18" s="17" t="s">
        <v>111</v>
      </c>
      <c r="G18" s="37">
        <v>45908</v>
      </c>
      <c r="H18" s="37">
        <v>45915</v>
      </c>
      <c r="I18" s="19"/>
      <c r="J18" s="20"/>
      <c r="K18" s="20"/>
      <c r="L18" s="20"/>
    </row>
    <row r="19" spans="1:12">
      <c r="A19" s="12">
        <v>11</v>
      </c>
      <c r="B19" s="20" t="s">
        <v>169</v>
      </c>
      <c r="C19" s="20"/>
      <c r="D19" s="20"/>
      <c r="E19" s="17">
        <v>3</v>
      </c>
      <c r="F19" s="17" t="s">
        <v>57</v>
      </c>
      <c r="G19" s="37">
        <v>45908</v>
      </c>
      <c r="H19" s="37">
        <v>45915</v>
      </c>
      <c r="I19" s="19"/>
      <c r="J19" s="22"/>
      <c r="K19" s="20"/>
      <c r="L19" s="20"/>
    </row>
    <row r="20" spans="1:12">
      <c r="A20" s="12">
        <v>12</v>
      </c>
      <c r="B20" s="20" t="s">
        <v>170</v>
      </c>
      <c r="C20" s="20"/>
      <c r="D20" s="20"/>
      <c r="E20" s="17">
        <v>1</v>
      </c>
      <c r="F20" s="17" t="s">
        <v>60</v>
      </c>
      <c r="G20" s="37">
        <v>45908</v>
      </c>
      <c r="H20" s="37">
        <v>45915</v>
      </c>
      <c r="I20" s="19"/>
      <c r="J20" s="22"/>
      <c r="K20" s="23"/>
      <c r="L20" s="23"/>
    </row>
    <row r="21" spans="1:12">
      <c r="A21" s="12">
        <v>13</v>
      </c>
      <c r="B21" s="20" t="s">
        <v>171</v>
      </c>
      <c r="C21" s="21"/>
      <c r="D21" s="17"/>
      <c r="E21" s="17" t="s">
        <v>58</v>
      </c>
      <c r="F21" s="17" t="s">
        <v>111</v>
      </c>
      <c r="G21" s="37">
        <v>45908</v>
      </c>
      <c r="H21" s="37">
        <v>45915</v>
      </c>
      <c r="I21" s="19"/>
      <c r="J21" s="22"/>
      <c r="K21" s="23"/>
      <c r="L21" s="23"/>
    </row>
    <row r="22" spans="1:12">
      <c r="A22" s="12">
        <v>14</v>
      </c>
      <c r="B22" s="20" t="s">
        <v>172</v>
      </c>
      <c r="C22" s="21"/>
      <c r="D22" s="17"/>
      <c r="E22" s="17">
        <v>1</v>
      </c>
      <c r="F22" s="17" t="s">
        <v>56</v>
      </c>
      <c r="G22" s="37">
        <v>45908</v>
      </c>
      <c r="H22" s="37">
        <v>45915</v>
      </c>
      <c r="I22" s="19"/>
      <c r="J22" s="20"/>
      <c r="K22" s="20"/>
      <c r="L22" s="20"/>
    </row>
    <row r="23" spans="1:12">
      <c r="A23" s="12">
        <v>15</v>
      </c>
      <c r="B23" s="20" t="s">
        <v>173</v>
      </c>
      <c r="C23" s="20"/>
      <c r="D23" s="20"/>
      <c r="E23" s="17">
        <v>1</v>
      </c>
      <c r="F23" s="17" t="s">
        <v>56</v>
      </c>
      <c r="G23" s="37">
        <v>45908</v>
      </c>
      <c r="H23" s="37">
        <v>45915</v>
      </c>
      <c r="I23" s="19"/>
      <c r="J23" s="20"/>
      <c r="K23" s="20"/>
      <c r="L23" s="20"/>
    </row>
    <row r="24" spans="1:12">
      <c r="A24" s="12">
        <v>16</v>
      </c>
      <c r="B24" s="20" t="s">
        <v>174</v>
      </c>
      <c r="C24" s="20"/>
      <c r="D24" s="20"/>
      <c r="E24" s="17">
        <v>1</v>
      </c>
      <c r="F24" s="17" t="s">
        <v>60</v>
      </c>
      <c r="G24" s="37">
        <v>45908</v>
      </c>
      <c r="H24" s="37">
        <v>45915</v>
      </c>
      <c r="I24" s="19"/>
      <c r="J24" s="22"/>
      <c r="K24" s="23"/>
      <c r="L24" s="23"/>
    </row>
    <row r="25" spans="1:12">
      <c r="A25" s="12">
        <v>17</v>
      </c>
      <c r="B25" s="20" t="s">
        <v>175</v>
      </c>
      <c r="C25" s="21"/>
      <c r="D25" s="17"/>
      <c r="E25" s="17">
        <v>1</v>
      </c>
      <c r="F25" s="17" t="s">
        <v>56</v>
      </c>
      <c r="G25" s="37">
        <v>45908</v>
      </c>
      <c r="H25" s="37">
        <v>45915</v>
      </c>
      <c r="I25" s="19"/>
      <c r="J25" s="22"/>
      <c r="K25" s="23"/>
      <c r="L25" s="23"/>
    </row>
    <row r="26" spans="1:12">
      <c r="A26" s="12">
        <v>18</v>
      </c>
      <c r="B26" s="20" t="s">
        <v>176</v>
      </c>
      <c r="C26" s="20"/>
      <c r="D26" s="20"/>
      <c r="E26" s="17">
        <v>1</v>
      </c>
      <c r="F26" s="17" t="s">
        <v>62</v>
      </c>
      <c r="G26" s="37">
        <v>45908</v>
      </c>
      <c r="H26" s="37">
        <v>45915</v>
      </c>
      <c r="I26" s="19"/>
      <c r="J26" s="22"/>
      <c r="K26" s="23"/>
      <c r="L26" s="23"/>
    </row>
    <row r="27" spans="1:12">
      <c r="A27" s="12">
        <v>19</v>
      </c>
      <c r="B27" s="20" t="s">
        <v>177</v>
      </c>
      <c r="C27" s="20"/>
      <c r="D27" s="20"/>
      <c r="E27" s="17">
        <v>2</v>
      </c>
      <c r="F27" s="17" t="s">
        <v>62</v>
      </c>
      <c r="G27" s="37">
        <v>45908</v>
      </c>
      <c r="H27" s="37">
        <v>45915</v>
      </c>
      <c r="I27" s="19"/>
      <c r="J27" s="20"/>
      <c r="K27" s="20"/>
      <c r="L27" s="20"/>
    </row>
    <row r="28" spans="1:12">
      <c r="A28" s="12">
        <v>20</v>
      </c>
      <c r="B28" s="20" t="s">
        <v>178</v>
      </c>
      <c r="C28" s="14"/>
      <c r="D28" s="15"/>
      <c r="E28" s="17" t="s">
        <v>90</v>
      </c>
      <c r="F28" s="17" t="s">
        <v>59</v>
      </c>
      <c r="G28" s="37">
        <v>45908</v>
      </c>
      <c r="H28" s="37">
        <v>45915</v>
      </c>
      <c r="I28" s="19"/>
      <c r="J28" s="22"/>
      <c r="K28" s="23"/>
      <c r="L28" s="23"/>
    </row>
    <row r="29" spans="1:12">
      <c r="A29" s="12">
        <v>21</v>
      </c>
      <c r="B29" s="20" t="s">
        <v>179</v>
      </c>
      <c r="C29" s="20"/>
      <c r="D29" s="20"/>
      <c r="E29" s="17" t="s">
        <v>58</v>
      </c>
      <c r="F29" s="17" t="s">
        <v>62</v>
      </c>
      <c r="G29" s="37">
        <v>45908</v>
      </c>
      <c r="H29" s="37">
        <v>45915</v>
      </c>
      <c r="I29" s="19"/>
      <c r="J29" s="22"/>
      <c r="K29" s="23"/>
      <c r="L29" s="23"/>
    </row>
    <row r="30" spans="1:12">
      <c r="A30" s="12">
        <v>22</v>
      </c>
      <c r="B30" s="20" t="s">
        <v>180</v>
      </c>
      <c r="C30" s="20"/>
      <c r="D30" s="20"/>
      <c r="E30" s="17">
        <v>1</v>
      </c>
      <c r="F30" s="17" t="s">
        <v>56</v>
      </c>
      <c r="G30" s="37">
        <v>45908</v>
      </c>
      <c r="H30" s="37">
        <v>45915</v>
      </c>
      <c r="I30" s="19"/>
      <c r="J30" s="20"/>
      <c r="K30" s="20"/>
      <c r="L30" s="20"/>
    </row>
    <row r="31" spans="1:12">
      <c r="A31" s="12">
        <v>23</v>
      </c>
      <c r="B31" s="20" t="s">
        <v>181</v>
      </c>
      <c r="C31" s="20"/>
      <c r="D31" s="20"/>
      <c r="E31" s="17" t="s">
        <v>58</v>
      </c>
      <c r="F31" s="17" t="s">
        <v>62</v>
      </c>
      <c r="G31" s="37">
        <v>45908</v>
      </c>
      <c r="H31" s="37">
        <v>45915</v>
      </c>
      <c r="I31" s="19"/>
      <c r="J31" s="22"/>
      <c r="K31" s="23"/>
      <c r="L31" s="23"/>
    </row>
    <row r="32" spans="1:12">
      <c r="A32" s="12">
        <v>24</v>
      </c>
      <c r="B32" s="20" t="s">
        <v>182</v>
      </c>
      <c r="C32" s="21"/>
      <c r="D32" s="17"/>
      <c r="E32" s="16">
        <v>7</v>
      </c>
      <c r="F32" s="17" t="s">
        <v>57</v>
      </c>
      <c r="G32" s="37">
        <v>45908</v>
      </c>
      <c r="H32" s="37">
        <v>45915</v>
      </c>
      <c r="I32" s="19"/>
      <c r="J32" s="20"/>
      <c r="K32" s="20"/>
      <c r="L32" s="20"/>
    </row>
    <row r="33" spans="1:12">
      <c r="A33" s="12">
        <v>25</v>
      </c>
      <c r="B33" s="20" t="s">
        <v>183</v>
      </c>
      <c r="C33" s="20"/>
      <c r="D33" s="20"/>
      <c r="E33" s="17">
        <v>1</v>
      </c>
      <c r="F33" s="17" t="s">
        <v>62</v>
      </c>
      <c r="G33" s="37">
        <v>45908</v>
      </c>
      <c r="H33" s="37">
        <v>45915</v>
      </c>
      <c r="I33" s="19"/>
      <c r="J33" s="20"/>
      <c r="K33" s="20"/>
      <c r="L33" s="20"/>
    </row>
    <row r="34" spans="1:12">
      <c r="A34" s="12">
        <v>26</v>
      </c>
      <c r="B34" s="20" t="s">
        <v>184</v>
      </c>
      <c r="C34" s="20"/>
      <c r="D34" s="20"/>
      <c r="E34" s="17">
        <v>3</v>
      </c>
      <c r="F34" s="17" t="s">
        <v>57</v>
      </c>
      <c r="G34" s="37">
        <v>45908</v>
      </c>
      <c r="H34" s="37">
        <v>45915</v>
      </c>
      <c r="I34" s="19"/>
      <c r="J34" s="20"/>
      <c r="K34" s="20"/>
      <c r="L34" s="20"/>
    </row>
    <row r="35" spans="1:12">
      <c r="A35" s="12">
        <v>27</v>
      </c>
      <c r="B35" s="20" t="s">
        <v>185</v>
      </c>
      <c r="C35" s="20"/>
      <c r="D35" s="20"/>
      <c r="E35" s="17">
        <v>1</v>
      </c>
      <c r="F35" s="17" t="s">
        <v>56</v>
      </c>
      <c r="G35" s="37">
        <v>45908</v>
      </c>
      <c r="H35" s="37">
        <v>45915</v>
      </c>
      <c r="I35" s="19"/>
      <c r="J35" s="20"/>
      <c r="K35" s="20"/>
      <c r="L35" s="20"/>
    </row>
    <row r="36" spans="1:12">
      <c r="A36" s="12">
        <v>28</v>
      </c>
      <c r="B36" s="20" t="s">
        <v>186</v>
      </c>
      <c r="C36" s="20"/>
      <c r="D36" s="20"/>
      <c r="E36" s="17">
        <v>1</v>
      </c>
      <c r="F36" s="17" t="s">
        <v>56</v>
      </c>
      <c r="G36" s="37">
        <v>45908</v>
      </c>
      <c r="H36" s="37">
        <v>45915</v>
      </c>
      <c r="I36" s="19"/>
      <c r="J36" s="20"/>
      <c r="K36" s="20"/>
      <c r="L36" s="20"/>
    </row>
    <row r="37" spans="1:12">
      <c r="A37" s="12">
        <v>29</v>
      </c>
      <c r="B37" s="20" t="s">
        <v>187</v>
      </c>
      <c r="C37" s="20"/>
      <c r="D37" s="20"/>
      <c r="E37" s="17">
        <v>1</v>
      </c>
      <c r="F37" s="17" t="s">
        <v>60</v>
      </c>
      <c r="G37" s="37">
        <v>45908</v>
      </c>
      <c r="H37" s="37">
        <v>45915</v>
      </c>
      <c r="I37" s="19"/>
      <c r="J37" s="20"/>
      <c r="K37" s="20"/>
      <c r="L37" s="20"/>
    </row>
    <row r="38" spans="1:12">
      <c r="A38" s="12">
        <v>30</v>
      </c>
      <c r="B38" s="20" t="s">
        <v>188</v>
      </c>
      <c r="C38" s="20"/>
      <c r="D38" s="20"/>
      <c r="E38" s="17">
        <v>1</v>
      </c>
      <c r="F38" s="17" t="s">
        <v>57</v>
      </c>
      <c r="G38" s="37">
        <v>45908</v>
      </c>
      <c r="H38" s="37">
        <v>45915</v>
      </c>
      <c r="I38" s="19"/>
      <c r="J38" s="20"/>
      <c r="K38" s="20"/>
      <c r="L38" s="20"/>
    </row>
    <row r="39" spans="1:12">
      <c r="A39" s="12">
        <v>31</v>
      </c>
      <c r="B39" s="20" t="s">
        <v>189</v>
      </c>
      <c r="C39" s="20"/>
      <c r="D39" s="20"/>
      <c r="E39" s="17" t="s">
        <v>58</v>
      </c>
      <c r="F39" s="17" t="s">
        <v>62</v>
      </c>
      <c r="G39" s="37">
        <v>45908</v>
      </c>
      <c r="H39" s="37">
        <v>45915</v>
      </c>
      <c r="I39" s="19"/>
      <c r="J39" s="20"/>
      <c r="K39" s="20"/>
      <c r="L39" s="20"/>
    </row>
    <row r="40" spans="1:12">
      <c r="A40" s="12">
        <v>32</v>
      </c>
      <c r="B40" s="20" t="s">
        <v>190</v>
      </c>
      <c r="C40" s="20"/>
      <c r="D40" s="20"/>
      <c r="E40" s="17">
        <v>1</v>
      </c>
      <c r="F40" s="37" t="s">
        <v>62</v>
      </c>
      <c r="G40" s="37">
        <v>45908</v>
      </c>
      <c r="H40" s="37">
        <v>45915</v>
      </c>
      <c r="I40" s="19"/>
      <c r="J40" s="20"/>
      <c r="K40" s="20"/>
      <c r="L40" s="20"/>
    </row>
    <row r="41" spans="1:12">
      <c r="A41" s="12">
        <v>33</v>
      </c>
      <c r="B41" s="20" t="s">
        <v>191</v>
      </c>
      <c r="C41" s="20"/>
      <c r="D41" s="20"/>
      <c r="E41" s="17" t="s">
        <v>79</v>
      </c>
      <c r="F41" s="37" t="s">
        <v>62</v>
      </c>
      <c r="G41" s="37">
        <v>45908</v>
      </c>
      <c r="H41" s="37">
        <v>45915</v>
      </c>
      <c r="I41" s="19"/>
      <c r="J41" s="20"/>
      <c r="K41" s="20"/>
      <c r="L41" s="20"/>
    </row>
    <row r="42" spans="1:12">
      <c r="A42" s="12">
        <v>34</v>
      </c>
      <c r="B42" s="20" t="s">
        <v>192</v>
      </c>
      <c r="C42" s="20"/>
      <c r="D42" s="20"/>
      <c r="E42" s="17">
        <v>3</v>
      </c>
      <c r="F42" s="17" t="s">
        <v>57</v>
      </c>
      <c r="G42" s="37">
        <v>45908</v>
      </c>
      <c r="H42" s="37">
        <v>45915</v>
      </c>
      <c r="I42" s="19"/>
      <c r="J42" s="20"/>
      <c r="K42" s="20"/>
      <c r="L42" s="20"/>
    </row>
    <row r="43" spans="1:12">
      <c r="A43" s="12">
        <v>35</v>
      </c>
      <c r="B43" s="20" t="s">
        <v>193</v>
      </c>
      <c r="C43" s="20"/>
      <c r="D43" s="20"/>
      <c r="E43" s="17">
        <v>1</v>
      </c>
      <c r="F43" s="17" t="s">
        <v>57</v>
      </c>
      <c r="G43" s="37">
        <v>45908</v>
      </c>
      <c r="H43" s="37">
        <v>45915</v>
      </c>
      <c r="I43" s="19"/>
      <c r="J43" s="20"/>
      <c r="K43" s="20"/>
      <c r="L43" s="20"/>
    </row>
    <row r="44" spans="1:12">
      <c r="A44" s="12">
        <v>36</v>
      </c>
      <c r="B44" s="20" t="s">
        <v>194</v>
      </c>
      <c r="C44" s="20"/>
      <c r="D44" s="20"/>
      <c r="E44" s="17" t="s">
        <v>58</v>
      </c>
      <c r="F44" s="17" t="s">
        <v>62</v>
      </c>
      <c r="G44" s="37">
        <v>45908</v>
      </c>
      <c r="H44" s="37">
        <v>45915</v>
      </c>
      <c r="I44" s="19"/>
      <c r="J44" s="20"/>
      <c r="K44" s="20"/>
      <c r="L44" s="20"/>
    </row>
    <row r="45" spans="1:12">
      <c r="A45" s="12">
        <v>37</v>
      </c>
      <c r="B45" s="20" t="s">
        <v>195</v>
      </c>
      <c r="C45" s="20"/>
      <c r="D45" s="20"/>
      <c r="E45" s="17">
        <v>1</v>
      </c>
      <c r="F45" s="17" t="s">
        <v>60</v>
      </c>
      <c r="G45" s="37">
        <v>45908</v>
      </c>
      <c r="H45" s="37">
        <v>45915</v>
      </c>
      <c r="I45" s="19"/>
      <c r="J45" s="20"/>
      <c r="K45" s="20"/>
      <c r="L45" s="20"/>
    </row>
    <row r="46" spans="1:12">
      <c r="A46" s="12">
        <v>38</v>
      </c>
      <c r="B46" s="20" t="s">
        <v>196</v>
      </c>
      <c r="C46" s="20"/>
      <c r="D46" s="20"/>
      <c r="E46" s="17">
        <v>1</v>
      </c>
      <c r="F46" s="17" t="s">
        <v>60</v>
      </c>
      <c r="G46" s="37">
        <v>45908</v>
      </c>
      <c r="H46" s="37">
        <v>45915</v>
      </c>
      <c r="I46" s="19"/>
      <c r="J46" s="20"/>
      <c r="K46" s="20"/>
      <c r="L46" s="20"/>
    </row>
    <row r="47" spans="1:12">
      <c r="A47" s="12">
        <v>39</v>
      </c>
      <c r="B47" s="20" t="s">
        <v>197</v>
      </c>
      <c r="C47" s="20"/>
      <c r="D47" s="20"/>
      <c r="E47" s="17">
        <v>1</v>
      </c>
      <c r="F47" s="17" t="s">
        <v>56</v>
      </c>
      <c r="G47" s="37">
        <v>45908</v>
      </c>
      <c r="H47" s="37">
        <v>45915</v>
      </c>
      <c r="I47" s="19"/>
      <c r="J47" s="20"/>
      <c r="K47" s="20"/>
      <c r="L47" s="20"/>
    </row>
    <row r="48" spans="1:12">
      <c r="A48" s="12">
        <v>40</v>
      </c>
      <c r="B48" s="20" t="s">
        <v>198</v>
      </c>
      <c r="C48" s="20"/>
      <c r="D48" s="20"/>
      <c r="E48" s="17">
        <v>1</v>
      </c>
      <c r="F48" s="17" t="s">
        <v>60</v>
      </c>
      <c r="G48" s="37">
        <v>45908</v>
      </c>
      <c r="H48" s="37">
        <v>45915</v>
      </c>
      <c r="I48" s="19"/>
      <c r="J48" s="20"/>
      <c r="K48" s="20"/>
      <c r="L48" s="20"/>
    </row>
    <row r="49" spans="1:14">
      <c r="A49" s="12">
        <v>41</v>
      </c>
      <c r="B49" s="20" t="s">
        <v>199</v>
      </c>
      <c r="C49" s="20"/>
      <c r="D49" s="20"/>
      <c r="E49" s="17">
        <v>1</v>
      </c>
      <c r="F49" s="17" t="s">
        <v>60</v>
      </c>
      <c r="G49" s="37">
        <v>45908</v>
      </c>
      <c r="H49" s="37">
        <v>45915</v>
      </c>
      <c r="I49" s="19"/>
      <c r="J49" s="20"/>
      <c r="K49" s="20"/>
      <c r="L49" s="20"/>
    </row>
    <row r="50" spans="1:14">
      <c r="A50" s="12">
        <v>42</v>
      </c>
      <c r="B50" s="20" t="s">
        <v>200</v>
      </c>
      <c r="C50" s="20"/>
      <c r="D50" s="20"/>
      <c r="E50" s="17" t="s">
        <v>108</v>
      </c>
      <c r="F50" s="17" t="s">
        <v>62</v>
      </c>
      <c r="G50" s="37">
        <v>45908</v>
      </c>
      <c r="H50" s="37">
        <v>45915</v>
      </c>
      <c r="I50" s="19"/>
      <c r="J50" s="20"/>
      <c r="K50" s="20"/>
      <c r="L50" s="20"/>
    </row>
    <row r="51" spans="1:14">
      <c r="A51" s="12">
        <v>43</v>
      </c>
      <c r="B51" s="20" t="s">
        <v>201</v>
      </c>
      <c r="C51" s="20"/>
      <c r="D51" s="20"/>
      <c r="E51" s="17">
        <v>3</v>
      </c>
      <c r="F51" s="17" t="s">
        <v>57</v>
      </c>
      <c r="G51" s="37">
        <v>45908</v>
      </c>
      <c r="H51" s="37">
        <v>45915</v>
      </c>
      <c r="I51" s="19"/>
      <c r="J51" s="20"/>
      <c r="K51" s="20"/>
      <c r="L51" s="20"/>
    </row>
    <row r="52" spans="1:14">
      <c r="A52" s="12">
        <v>44</v>
      </c>
      <c r="B52" s="20" t="s">
        <v>202</v>
      </c>
      <c r="C52" s="20"/>
      <c r="D52" s="20"/>
      <c r="E52" s="17" t="s">
        <v>58</v>
      </c>
      <c r="F52" s="17" t="s">
        <v>62</v>
      </c>
      <c r="G52" s="37">
        <v>45908</v>
      </c>
      <c r="H52" s="37">
        <v>45915</v>
      </c>
      <c r="I52" s="19"/>
      <c r="J52" s="20"/>
      <c r="K52" s="20"/>
      <c r="L52" s="20"/>
    </row>
    <row r="53" spans="1:14">
      <c r="A53" s="12">
        <v>45</v>
      </c>
      <c r="B53" s="20" t="s">
        <v>203</v>
      </c>
      <c r="C53" s="20"/>
      <c r="D53" s="20"/>
      <c r="E53" s="17">
        <v>1</v>
      </c>
      <c r="F53" s="17" t="s">
        <v>56</v>
      </c>
      <c r="G53" s="37">
        <v>45908</v>
      </c>
      <c r="H53" s="37">
        <v>45915</v>
      </c>
      <c r="I53" s="19"/>
      <c r="J53" s="20"/>
      <c r="K53" s="20"/>
      <c r="L53" s="20"/>
      <c r="N53" t="s">
        <v>81</v>
      </c>
    </row>
    <row r="54" spans="1:14">
      <c r="A54" s="12">
        <v>46</v>
      </c>
      <c r="B54" s="20" t="s">
        <v>204</v>
      </c>
      <c r="C54" s="20"/>
      <c r="D54" s="20"/>
      <c r="E54" s="17">
        <v>1</v>
      </c>
      <c r="F54" s="17" t="s">
        <v>60</v>
      </c>
      <c r="G54" s="37">
        <v>45908</v>
      </c>
      <c r="H54" s="37">
        <v>45915</v>
      </c>
      <c r="I54" s="19"/>
      <c r="J54" s="20"/>
      <c r="K54" s="20"/>
      <c r="L54" s="20"/>
    </row>
    <row r="55" spans="1:14">
      <c r="A55" s="12">
        <v>47</v>
      </c>
      <c r="B55" s="20" t="s">
        <v>205</v>
      </c>
      <c r="C55" s="20"/>
      <c r="D55" s="20"/>
      <c r="E55" s="17" t="s">
        <v>102</v>
      </c>
      <c r="F55" s="17" t="s">
        <v>56</v>
      </c>
      <c r="G55" s="37">
        <v>45908</v>
      </c>
      <c r="H55" s="37">
        <v>45915</v>
      </c>
      <c r="I55" s="19"/>
      <c r="J55" s="20"/>
      <c r="K55" s="20"/>
      <c r="L55" s="20"/>
    </row>
    <row r="56" spans="1:14">
      <c r="A56" s="12">
        <v>48</v>
      </c>
      <c r="B56" s="20" t="s">
        <v>206</v>
      </c>
      <c r="C56" s="20"/>
      <c r="D56" s="20"/>
      <c r="E56" s="17" t="s">
        <v>58</v>
      </c>
      <c r="F56" s="17" t="s">
        <v>111</v>
      </c>
      <c r="G56" s="37">
        <v>45908</v>
      </c>
      <c r="H56" s="37">
        <v>45915</v>
      </c>
      <c r="I56" s="19"/>
      <c r="J56" s="20"/>
      <c r="K56" s="20"/>
      <c r="L56" s="20"/>
    </row>
    <row r="57" spans="1:14">
      <c r="A57" s="12">
        <v>49</v>
      </c>
      <c r="B57" s="20" t="s">
        <v>207</v>
      </c>
      <c r="C57" s="14"/>
      <c r="D57" s="17"/>
      <c r="E57" s="17" t="s">
        <v>58</v>
      </c>
      <c r="F57" s="17" t="s">
        <v>62</v>
      </c>
      <c r="G57" s="37">
        <v>45908</v>
      </c>
      <c r="H57" s="37">
        <v>45915</v>
      </c>
      <c r="I57" s="19"/>
      <c r="J57" s="20"/>
      <c r="K57" s="20"/>
      <c r="L57" s="20"/>
    </row>
    <row r="58" spans="1:14">
      <c r="A58" s="12">
        <v>50</v>
      </c>
      <c r="B58" s="20" t="s">
        <v>208</v>
      </c>
      <c r="C58" s="20"/>
      <c r="D58" s="20"/>
      <c r="E58" s="17">
        <v>1</v>
      </c>
      <c r="F58" s="17" t="s">
        <v>56</v>
      </c>
      <c r="G58" s="37">
        <v>45908</v>
      </c>
      <c r="H58" s="37">
        <v>45915</v>
      </c>
      <c r="I58" s="19"/>
      <c r="J58" s="20"/>
      <c r="K58" s="20"/>
      <c r="L58" s="20"/>
    </row>
    <row r="59" spans="1:14">
      <c r="A59" s="12">
        <v>51</v>
      </c>
      <c r="B59" s="20" t="s">
        <v>209</v>
      </c>
      <c r="C59" s="20"/>
      <c r="D59" s="20"/>
      <c r="E59" s="17" t="s">
        <v>58</v>
      </c>
      <c r="F59" s="17" t="s">
        <v>111</v>
      </c>
      <c r="G59" s="37">
        <v>45908</v>
      </c>
      <c r="H59" s="37">
        <v>45915</v>
      </c>
      <c r="I59" s="19"/>
      <c r="J59" s="20"/>
      <c r="K59" s="20"/>
      <c r="L59" s="20"/>
    </row>
    <row r="60" spans="1:14">
      <c r="A60" s="12">
        <v>52</v>
      </c>
      <c r="B60" s="20" t="s">
        <v>210</v>
      </c>
      <c r="C60" s="21"/>
      <c r="D60" s="17"/>
      <c r="E60" s="16">
        <v>1</v>
      </c>
      <c r="F60" s="17" t="s">
        <v>94</v>
      </c>
      <c r="G60" s="37">
        <v>45908</v>
      </c>
      <c r="H60" s="37">
        <v>45915</v>
      </c>
      <c r="I60" s="19"/>
      <c r="J60" s="20"/>
      <c r="K60" s="20"/>
      <c r="L60" s="20"/>
    </row>
    <row r="61" spans="1:14">
      <c r="A61" s="12">
        <v>53</v>
      </c>
      <c r="B61" s="20" t="s">
        <v>211</v>
      </c>
      <c r="C61" s="21"/>
      <c r="D61" s="17"/>
      <c r="E61" s="17">
        <v>1</v>
      </c>
      <c r="F61" s="17" t="s">
        <v>56</v>
      </c>
      <c r="G61" s="37">
        <v>45908</v>
      </c>
      <c r="H61" s="37">
        <v>45915</v>
      </c>
      <c r="I61" s="19"/>
      <c r="J61" s="20"/>
      <c r="K61" s="20"/>
      <c r="L61" s="20"/>
    </row>
    <row r="62" spans="1:14">
      <c r="A62" s="12">
        <v>54</v>
      </c>
      <c r="B62" s="20" t="s">
        <v>212</v>
      </c>
      <c r="C62" s="20"/>
      <c r="D62" s="20"/>
      <c r="E62" s="17" t="s">
        <v>58</v>
      </c>
      <c r="F62" s="17" t="s">
        <v>62</v>
      </c>
      <c r="G62" s="37">
        <v>45908</v>
      </c>
      <c r="H62" s="37">
        <v>45915</v>
      </c>
      <c r="I62" s="19"/>
      <c r="J62" s="20"/>
      <c r="K62" s="20"/>
      <c r="L62" s="20"/>
    </row>
    <row r="63" spans="1:14">
      <c r="A63" s="12">
        <v>55</v>
      </c>
      <c r="B63" s="20" t="s">
        <v>213</v>
      </c>
      <c r="C63" s="20"/>
      <c r="D63" s="20"/>
      <c r="E63" s="17" t="s">
        <v>58</v>
      </c>
      <c r="F63" s="17" t="s">
        <v>62</v>
      </c>
      <c r="G63" s="37">
        <v>45908</v>
      </c>
      <c r="H63" s="37">
        <v>45915</v>
      </c>
      <c r="I63" s="19"/>
      <c r="J63" s="20"/>
      <c r="K63" s="20"/>
      <c r="L63" s="20"/>
    </row>
    <row r="64" spans="1:14">
      <c r="A64" s="12">
        <v>56</v>
      </c>
      <c r="B64" s="20" t="s">
        <v>214</v>
      </c>
      <c r="C64" s="20"/>
      <c r="D64" s="20"/>
      <c r="E64" s="17">
        <v>1</v>
      </c>
      <c r="F64" s="17" t="s">
        <v>57</v>
      </c>
      <c r="G64" s="37">
        <v>45908</v>
      </c>
      <c r="H64" s="37">
        <v>45915</v>
      </c>
      <c r="I64" s="19"/>
      <c r="J64" s="20"/>
      <c r="K64" s="20"/>
      <c r="L64" s="20"/>
    </row>
    <row r="65" spans="1:12">
      <c r="A65" s="12">
        <v>57</v>
      </c>
      <c r="B65" s="20" t="s">
        <v>215</v>
      </c>
      <c r="C65" s="20"/>
      <c r="D65" s="20"/>
      <c r="E65" s="17">
        <v>1</v>
      </c>
      <c r="F65" s="17" t="s">
        <v>60</v>
      </c>
      <c r="G65" s="37">
        <v>45908</v>
      </c>
      <c r="H65" s="37">
        <v>45915</v>
      </c>
      <c r="I65" s="19"/>
      <c r="J65" s="20"/>
      <c r="K65" s="20"/>
      <c r="L65" s="20"/>
    </row>
    <row r="66" spans="1:12">
      <c r="A66" s="12">
        <v>58</v>
      </c>
      <c r="B66" s="20" t="s">
        <v>216</v>
      </c>
      <c r="C66" s="20"/>
      <c r="D66" s="20"/>
      <c r="E66" s="17">
        <v>1</v>
      </c>
      <c r="F66" s="17" t="s">
        <v>57</v>
      </c>
      <c r="G66" s="37">
        <v>45908</v>
      </c>
      <c r="H66" s="37">
        <v>45915</v>
      </c>
      <c r="I66" s="19"/>
      <c r="J66" s="20"/>
      <c r="K66" s="20"/>
      <c r="L66" s="20"/>
    </row>
    <row r="67" spans="1:12">
      <c r="A67" s="12">
        <v>59</v>
      </c>
      <c r="B67" s="20" t="s">
        <v>217</v>
      </c>
      <c r="C67" s="20"/>
      <c r="D67" s="20"/>
      <c r="E67" s="17" t="s">
        <v>58</v>
      </c>
      <c r="F67" s="17" t="s">
        <v>62</v>
      </c>
      <c r="G67" s="37">
        <v>45908</v>
      </c>
      <c r="H67" s="37">
        <v>45915</v>
      </c>
      <c r="I67" s="19"/>
      <c r="J67" s="20"/>
      <c r="K67" s="20"/>
      <c r="L67" s="20"/>
    </row>
  </sheetData>
  <sortState ref="B9:I72">
    <sortCondition ref="B9"/>
  </sortState>
  <mergeCells count="5">
    <mergeCell ref="A1:L1"/>
    <mergeCell ref="A2:L2"/>
    <mergeCell ref="F3:H3"/>
    <mergeCell ref="K3:L7"/>
    <mergeCell ref="C5:E5"/>
  </mergeCells>
  <phoneticPr fontId="9" type="noConversion"/>
  <dataValidations count="1">
    <dataValidation type="list" errorStyle="information" allowBlank="1" showInputMessage="1" showErrorMessage="1" errorTitle="Please Check Entry" error="It is recommended to pick a course from the list." sqref="C9:C67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54"/>
  <sheetViews>
    <sheetView zoomScale="98" zoomScaleNormal="45" workbookViewId="0">
      <selection activeCell="B9" sqref="B9:B54"/>
    </sheetView>
  </sheetViews>
  <sheetFormatPr defaultRowHeight="13.8"/>
  <cols>
    <col min="1" max="1" width="4.09765625" customWidth="1"/>
    <col min="2" max="2" width="19" customWidth="1"/>
    <col min="3" max="3" width="9.8984375" customWidth="1"/>
    <col min="4" max="4" width="8.19921875" customWidth="1"/>
    <col min="5" max="5" width="9.19921875" customWidth="1"/>
    <col min="6" max="6" width="16.8984375" customWidth="1"/>
    <col min="7" max="7" width="10.19921875" customWidth="1"/>
    <col min="8" max="8" width="9.09765625" customWidth="1"/>
    <col min="9" max="9" width="8.59765625" customWidth="1"/>
    <col min="10" max="10" width="8.19921875" customWidth="1"/>
  </cols>
  <sheetData>
    <row r="1" spans="1:12" ht="22.2">
      <c r="A1" s="58">
        <v>45916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2">
      <c r="A2" s="59" t="s">
        <v>0</v>
      </c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20"/>
      <c r="L3" s="20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81</v>
      </c>
      <c r="G4" s="5" t="s">
        <v>141</v>
      </c>
      <c r="H4" s="8" t="s">
        <v>9</v>
      </c>
      <c r="I4" s="8"/>
      <c r="J4" s="9"/>
      <c r="K4" s="20"/>
      <c r="L4" s="20"/>
    </row>
    <row r="5" spans="1:12" ht="14.25" customHeight="1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20"/>
      <c r="L5" s="20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20"/>
      <c r="L6" s="20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0"/>
      <c r="L7" s="20"/>
    </row>
    <row r="8" spans="1:12" ht="55.2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36" t="s">
        <v>31</v>
      </c>
      <c r="I8" s="36"/>
      <c r="J8" s="36" t="s">
        <v>31</v>
      </c>
      <c r="K8" s="38" t="s">
        <v>32</v>
      </c>
      <c r="L8" s="20"/>
    </row>
    <row r="9" spans="1:12">
      <c r="A9" s="12">
        <v>1</v>
      </c>
      <c r="B9" s="20" t="s">
        <v>159</v>
      </c>
      <c r="C9" s="20"/>
      <c r="D9" s="20"/>
      <c r="E9" s="17">
        <v>1</v>
      </c>
      <c r="F9" s="17" t="s">
        <v>60</v>
      </c>
      <c r="G9" s="37">
        <v>45909</v>
      </c>
      <c r="H9" s="37">
        <v>45916</v>
      </c>
      <c r="I9" s="19"/>
      <c r="J9" s="20"/>
      <c r="K9" s="20"/>
      <c r="L9" s="20"/>
    </row>
    <row r="10" spans="1:12">
      <c r="A10" s="12">
        <v>2</v>
      </c>
      <c r="B10" s="20" t="s">
        <v>160</v>
      </c>
      <c r="C10" s="20"/>
      <c r="D10" s="20"/>
      <c r="E10" s="17">
        <v>1</v>
      </c>
      <c r="F10" s="17" t="s">
        <v>56</v>
      </c>
      <c r="G10" s="37">
        <v>45909</v>
      </c>
      <c r="H10" s="37">
        <v>45916</v>
      </c>
      <c r="I10" s="19"/>
      <c r="J10" s="22"/>
      <c r="K10" s="20"/>
      <c r="L10" s="20"/>
    </row>
    <row r="11" spans="1:12">
      <c r="A11" s="12">
        <v>3</v>
      </c>
      <c r="B11" s="20" t="s">
        <v>161</v>
      </c>
      <c r="C11" s="14"/>
      <c r="D11" s="20"/>
      <c r="E11" s="17">
        <v>1</v>
      </c>
      <c r="F11" s="17" t="s">
        <v>56</v>
      </c>
      <c r="G11" s="37">
        <v>45909</v>
      </c>
      <c r="H11" s="37">
        <v>45916</v>
      </c>
      <c r="I11" s="19"/>
      <c r="J11" s="20"/>
      <c r="K11" s="20"/>
      <c r="L11" s="20"/>
    </row>
    <row r="12" spans="1:12">
      <c r="A12" s="12">
        <v>4</v>
      </c>
      <c r="B12" s="20" t="s">
        <v>162</v>
      </c>
      <c r="C12" s="20"/>
      <c r="D12" s="20"/>
      <c r="E12" s="20" t="s">
        <v>97</v>
      </c>
      <c r="F12" s="17" t="s">
        <v>62</v>
      </c>
      <c r="G12" s="37">
        <v>45909</v>
      </c>
      <c r="H12" s="37">
        <v>45916</v>
      </c>
      <c r="I12" s="19"/>
      <c r="J12" s="20"/>
      <c r="K12" s="20"/>
      <c r="L12" s="20"/>
    </row>
    <row r="13" spans="1:12">
      <c r="A13" s="12">
        <v>5</v>
      </c>
      <c r="B13" s="20" t="s">
        <v>163</v>
      </c>
      <c r="C13" s="20"/>
      <c r="D13" s="20"/>
      <c r="E13" s="17" t="s">
        <v>58</v>
      </c>
      <c r="F13" s="17" t="s">
        <v>59</v>
      </c>
      <c r="G13" s="37">
        <v>45909</v>
      </c>
      <c r="H13" s="37">
        <v>45916</v>
      </c>
      <c r="I13" s="19"/>
      <c r="J13" s="22"/>
      <c r="K13" s="20"/>
      <c r="L13" s="20"/>
    </row>
    <row r="14" spans="1:12">
      <c r="A14" s="12">
        <v>6</v>
      </c>
      <c r="B14" s="20" t="s">
        <v>164</v>
      </c>
      <c r="C14" s="20"/>
      <c r="D14" s="20"/>
      <c r="E14" s="17">
        <v>1</v>
      </c>
      <c r="F14" s="17" t="s">
        <v>56</v>
      </c>
      <c r="G14" s="37">
        <v>45909</v>
      </c>
      <c r="H14" s="37">
        <v>45916</v>
      </c>
      <c r="I14" s="19"/>
      <c r="J14" s="22"/>
      <c r="K14" s="20"/>
      <c r="L14" s="20"/>
    </row>
    <row r="15" spans="1:12">
      <c r="A15" s="12">
        <v>7</v>
      </c>
      <c r="B15" s="20" t="s">
        <v>165</v>
      </c>
      <c r="C15" s="20"/>
      <c r="D15" s="20"/>
      <c r="E15" s="17" t="s">
        <v>58</v>
      </c>
      <c r="F15" s="17" t="s">
        <v>59</v>
      </c>
      <c r="G15" s="37">
        <v>45909</v>
      </c>
      <c r="H15" s="37">
        <v>45916</v>
      </c>
      <c r="I15" s="19"/>
      <c r="J15" s="20"/>
      <c r="K15" s="20"/>
      <c r="L15" s="20"/>
    </row>
    <row r="16" spans="1:12">
      <c r="A16" s="12">
        <v>8</v>
      </c>
      <c r="B16" s="20" t="s">
        <v>166</v>
      </c>
      <c r="C16" s="14"/>
      <c r="D16" s="17"/>
      <c r="E16" s="17">
        <v>1</v>
      </c>
      <c r="F16" s="17" t="s">
        <v>60</v>
      </c>
      <c r="G16" s="37">
        <v>45909</v>
      </c>
      <c r="H16" s="37">
        <v>45916</v>
      </c>
      <c r="I16" s="19"/>
      <c r="J16" s="22"/>
      <c r="K16" s="20"/>
      <c r="L16" s="20"/>
    </row>
    <row r="17" spans="1:12">
      <c r="A17" s="12">
        <v>9</v>
      </c>
      <c r="B17" s="20" t="s">
        <v>167</v>
      </c>
      <c r="C17" s="20"/>
      <c r="D17" s="20"/>
      <c r="E17" s="17" t="s">
        <v>58</v>
      </c>
      <c r="F17" s="17" t="s">
        <v>59</v>
      </c>
      <c r="G17" s="37">
        <v>45909</v>
      </c>
      <c r="H17" s="37">
        <v>45916</v>
      </c>
      <c r="I17" s="19"/>
      <c r="J17" s="22"/>
      <c r="K17" s="20"/>
      <c r="L17" s="20"/>
    </row>
    <row r="18" spans="1:12">
      <c r="A18" s="12">
        <v>10</v>
      </c>
      <c r="B18" s="20" t="s">
        <v>168</v>
      </c>
      <c r="C18" s="20"/>
      <c r="D18" s="20"/>
      <c r="E18" s="17">
        <v>2</v>
      </c>
      <c r="F18" s="17" t="s">
        <v>62</v>
      </c>
      <c r="G18" s="37">
        <v>45909</v>
      </c>
      <c r="H18" s="37">
        <v>45916</v>
      </c>
      <c r="I18" s="19"/>
      <c r="J18" s="20"/>
      <c r="K18" s="20"/>
      <c r="L18" s="20"/>
    </row>
    <row r="19" spans="1:12">
      <c r="A19" s="12">
        <v>11</v>
      </c>
      <c r="B19" s="20" t="s">
        <v>169</v>
      </c>
      <c r="C19" s="20"/>
      <c r="D19" s="20"/>
      <c r="E19" s="17" t="s">
        <v>97</v>
      </c>
      <c r="F19" s="17" t="s">
        <v>62</v>
      </c>
      <c r="G19" s="37">
        <v>45909</v>
      </c>
      <c r="H19" s="37">
        <v>45916</v>
      </c>
      <c r="I19" s="19"/>
      <c r="J19" s="22"/>
      <c r="K19" s="20"/>
      <c r="L19" s="20"/>
    </row>
    <row r="20" spans="1:12">
      <c r="A20" s="12">
        <v>12</v>
      </c>
      <c r="B20" s="20" t="s">
        <v>170</v>
      </c>
      <c r="C20" s="20"/>
      <c r="D20" s="20"/>
      <c r="E20" s="17">
        <v>1</v>
      </c>
      <c r="F20" s="17" t="s">
        <v>56</v>
      </c>
      <c r="G20" s="37">
        <v>45909</v>
      </c>
      <c r="H20" s="37">
        <v>45916</v>
      </c>
      <c r="I20" s="19"/>
      <c r="J20" s="22"/>
      <c r="K20" s="20"/>
      <c r="L20" s="20"/>
    </row>
    <row r="21" spans="1:12">
      <c r="A21" s="12">
        <v>13</v>
      </c>
      <c r="B21" s="20" t="s">
        <v>171</v>
      </c>
      <c r="C21" s="20"/>
      <c r="D21" s="20"/>
      <c r="E21" s="17">
        <v>1</v>
      </c>
      <c r="F21" s="17" t="s">
        <v>57</v>
      </c>
      <c r="G21" s="37">
        <v>45909</v>
      </c>
      <c r="H21" s="37">
        <v>45916</v>
      </c>
      <c r="I21" s="19"/>
      <c r="J21" s="22"/>
      <c r="K21" s="20"/>
      <c r="L21" s="20"/>
    </row>
    <row r="22" spans="1:12">
      <c r="A22" s="12">
        <v>14</v>
      </c>
      <c r="B22" s="20" t="s">
        <v>172</v>
      </c>
      <c r="C22" s="14"/>
      <c r="D22" s="20"/>
      <c r="E22" s="17" t="s">
        <v>91</v>
      </c>
      <c r="F22" s="17" t="s">
        <v>80</v>
      </c>
      <c r="G22" s="37">
        <v>45912</v>
      </c>
      <c r="H22" s="37">
        <v>45916</v>
      </c>
      <c r="I22" s="19"/>
      <c r="J22" s="20"/>
      <c r="K22" s="20"/>
      <c r="L22" s="20"/>
    </row>
    <row r="23" spans="1:12">
      <c r="A23" s="12">
        <v>15</v>
      </c>
      <c r="B23" s="20" t="s">
        <v>173</v>
      </c>
      <c r="C23" s="14"/>
      <c r="D23" s="20"/>
      <c r="E23" s="17" t="s">
        <v>79</v>
      </c>
      <c r="F23" s="17" t="s">
        <v>80</v>
      </c>
      <c r="G23" s="37">
        <v>45912</v>
      </c>
      <c r="H23" s="37">
        <v>45916</v>
      </c>
      <c r="I23" s="19"/>
      <c r="J23" s="20"/>
      <c r="K23" s="20"/>
      <c r="L23" s="20"/>
    </row>
    <row r="24" spans="1:12">
      <c r="A24" s="12">
        <v>16</v>
      </c>
      <c r="B24" s="20" t="s">
        <v>174</v>
      </c>
      <c r="C24" s="20"/>
      <c r="D24" s="20"/>
      <c r="E24" s="17" t="s">
        <v>58</v>
      </c>
      <c r="F24" s="17" t="s">
        <v>59</v>
      </c>
      <c r="G24" s="37">
        <v>45909</v>
      </c>
      <c r="H24" s="37">
        <v>45916</v>
      </c>
      <c r="I24" s="19"/>
      <c r="J24" s="22"/>
      <c r="K24" s="20"/>
      <c r="L24" s="20"/>
    </row>
    <row r="25" spans="1:12">
      <c r="A25" s="12">
        <v>17</v>
      </c>
      <c r="B25" s="20" t="s">
        <v>175</v>
      </c>
      <c r="C25" s="21"/>
      <c r="D25" s="17"/>
      <c r="E25" s="17">
        <v>1</v>
      </c>
      <c r="F25" s="17" t="s">
        <v>60</v>
      </c>
      <c r="G25" s="37">
        <v>45909</v>
      </c>
      <c r="H25" s="37">
        <v>45916</v>
      </c>
      <c r="I25" s="19"/>
      <c r="J25" s="22"/>
      <c r="K25" s="20"/>
      <c r="L25" s="20"/>
    </row>
    <row r="26" spans="1:12">
      <c r="A26" s="12">
        <v>18</v>
      </c>
      <c r="B26" s="20" t="s">
        <v>176</v>
      </c>
      <c r="C26" s="20"/>
      <c r="D26" s="20"/>
      <c r="E26" s="17">
        <v>1</v>
      </c>
      <c r="F26" s="17" t="s">
        <v>57</v>
      </c>
      <c r="G26" s="37">
        <v>45909</v>
      </c>
      <c r="H26" s="37">
        <v>45916</v>
      </c>
      <c r="I26" s="19"/>
      <c r="J26" s="22"/>
      <c r="K26" s="20"/>
      <c r="L26" s="20"/>
    </row>
    <row r="27" spans="1:12">
      <c r="A27" s="12">
        <v>19</v>
      </c>
      <c r="B27" s="20" t="s">
        <v>177</v>
      </c>
      <c r="C27" s="20"/>
      <c r="D27" s="20"/>
      <c r="E27" s="17">
        <v>1</v>
      </c>
      <c r="F27" s="17" t="s">
        <v>56</v>
      </c>
      <c r="G27" s="37">
        <v>45909</v>
      </c>
      <c r="H27" s="37">
        <v>45916</v>
      </c>
      <c r="I27" s="19"/>
      <c r="J27" s="20"/>
      <c r="K27" s="20"/>
      <c r="L27" s="20"/>
    </row>
    <row r="28" spans="1:12">
      <c r="A28" s="12">
        <v>20</v>
      </c>
      <c r="B28" s="20" t="s">
        <v>178</v>
      </c>
      <c r="C28" s="20"/>
      <c r="D28" s="17"/>
      <c r="E28" s="17">
        <v>1</v>
      </c>
      <c r="F28" s="17" t="s">
        <v>60</v>
      </c>
      <c r="G28" s="37">
        <v>45909</v>
      </c>
      <c r="H28" s="37">
        <v>45916</v>
      </c>
      <c r="I28" s="19"/>
      <c r="J28" s="22"/>
      <c r="K28" s="20"/>
      <c r="L28" s="20"/>
    </row>
    <row r="29" spans="1:12">
      <c r="A29" s="12">
        <v>21</v>
      </c>
      <c r="B29" s="20" t="s">
        <v>179</v>
      </c>
      <c r="C29" s="20"/>
      <c r="D29" s="20"/>
      <c r="E29" s="17">
        <v>1</v>
      </c>
      <c r="F29" s="17" t="s">
        <v>57</v>
      </c>
      <c r="G29" s="37">
        <v>45909</v>
      </c>
      <c r="H29" s="37">
        <v>45916</v>
      </c>
      <c r="I29" s="19"/>
      <c r="J29" s="22"/>
      <c r="K29" s="20"/>
      <c r="L29" s="20"/>
    </row>
    <row r="30" spans="1:12">
      <c r="A30" s="12">
        <v>22</v>
      </c>
      <c r="B30" s="20" t="s">
        <v>180</v>
      </c>
      <c r="C30" s="20"/>
      <c r="D30" s="20"/>
      <c r="E30" s="17" t="s">
        <v>58</v>
      </c>
      <c r="F30" s="17" t="s">
        <v>59</v>
      </c>
      <c r="G30" s="37">
        <v>45909</v>
      </c>
      <c r="H30" s="37">
        <v>45916</v>
      </c>
      <c r="I30" s="19"/>
      <c r="J30" s="20"/>
      <c r="K30" s="20"/>
      <c r="L30" s="20"/>
    </row>
    <row r="31" spans="1:12">
      <c r="A31" s="12">
        <v>23</v>
      </c>
      <c r="B31" s="20" t="s">
        <v>181</v>
      </c>
      <c r="C31" s="20"/>
      <c r="D31" s="20"/>
      <c r="E31" s="17">
        <v>1</v>
      </c>
      <c r="F31" s="17" t="s">
        <v>56</v>
      </c>
      <c r="G31" s="37">
        <v>45909</v>
      </c>
      <c r="H31" s="37">
        <v>45916</v>
      </c>
      <c r="I31" s="19"/>
      <c r="J31" s="22"/>
      <c r="K31" s="20"/>
      <c r="L31" s="20"/>
    </row>
    <row r="32" spans="1:12">
      <c r="A32" s="12">
        <v>24</v>
      </c>
      <c r="B32" s="20" t="s">
        <v>182</v>
      </c>
      <c r="C32" s="14"/>
      <c r="D32" s="17"/>
      <c r="E32" s="17">
        <v>2</v>
      </c>
      <c r="F32" s="17" t="s">
        <v>62</v>
      </c>
      <c r="G32" s="37">
        <v>45909</v>
      </c>
      <c r="H32" s="37">
        <v>45916</v>
      </c>
      <c r="I32" s="19"/>
      <c r="J32" s="20"/>
      <c r="K32" s="20"/>
      <c r="L32" s="20"/>
    </row>
    <row r="33" spans="1:12">
      <c r="A33" s="12">
        <v>25</v>
      </c>
      <c r="B33" s="20" t="s">
        <v>183</v>
      </c>
      <c r="C33" s="20"/>
      <c r="D33" s="20"/>
      <c r="E33" s="17">
        <v>1</v>
      </c>
      <c r="F33" s="17" t="s">
        <v>57</v>
      </c>
      <c r="G33" s="37">
        <v>45909</v>
      </c>
      <c r="H33" s="37">
        <v>45916</v>
      </c>
      <c r="I33" s="19"/>
      <c r="J33" s="20"/>
      <c r="K33" s="20"/>
      <c r="L33" s="20"/>
    </row>
    <row r="34" spans="1:12">
      <c r="A34" s="12">
        <v>26</v>
      </c>
      <c r="B34" s="20" t="s">
        <v>184</v>
      </c>
      <c r="C34" s="14"/>
      <c r="D34" s="17"/>
      <c r="E34" s="17">
        <v>1</v>
      </c>
      <c r="F34" s="17" t="s">
        <v>85</v>
      </c>
      <c r="G34" s="37">
        <v>45909</v>
      </c>
      <c r="H34" s="37">
        <v>45916</v>
      </c>
      <c r="I34" s="19"/>
      <c r="J34" s="20"/>
      <c r="K34" s="20"/>
      <c r="L34" s="20"/>
    </row>
    <row r="35" spans="1:12">
      <c r="A35" s="12">
        <v>27</v>
      </c>
      <c r="B35" s="20" t="s">
        <v>185</v>
      </c>
      <c r="C35" s="20"/>
      <c r="D35" s="20"/>
      <c r="E35" s="17">
        <v>1</v>
      </c>
      <c r="F35" s="17" t="s">
        <v>93</v>
      </c>
      <c r="G35" s="37">
        <v>45909</v>
      </c>
      <c r="H35" s="37">
        <v>45916</v>
      </c>
      <c r="I35" s="19"/>
      <c r="J35" s="20"/>
      <c r="K35" s="20"/>
      <c r="L35" s="20"/>
    </row>
    <row r="36" spans="1:12">
      <c r="A36" s="12">
        <v>28</v>
      </c>
      <c r="B36" s="20" t="s">
        <v>186</v>
      </c>
      <c r="C36" s="14"/>
      <c r="D36" s="17"/>
      <c r="E36" s="17">
        <v>1</v>
      </c>
      <c r="F36" s="17" t="s">
        <v>85</v>
      </c>
      <c r="G36" s="37">
        <v>45909</v>
      </c>
      <c r="H36" s="37">
        <v>45916</v>
      </c>
      <c r="I36" s="19"/>
      <c r="J36" s="20"/>
      <c r="K36" s="20"/>
      <c r="L36" s="20"/>
    </row>
    <row r="37" spans="1:12">
      <c r="A37" s="12">
        <v>29</v>
      </c>
      <c r="B37" s="20" t="s">
        <v>187</v>
      </c>
      <c r="C37" s="20"/>
      <c r="D37" s="20"/>
      <c r="E37" s="17">
        <v>1</v>
      </c>
      <c r="F37" s="17" t="s">
        <v>57</v>
      </c>
      <c r="G37" s="37">
        <v>45912</v>
      </c>
      <c r="H37" s="37">
        <v>45916</v>
      </c>
      <c r="I37" s="19"/>
      <c r="J37" s="20"/>
      <c r="K37" s="20"/>
      <c r="L37" s="20"/>
    </row>
    <row r="38" spans="1:12">
      <c r="A38" s="12">
        <v>30</v>
      </c>
      <c r="B38" s="20" t="s">
        <v>188</v>
      </c>
      <c r="C38" s="20"/>
      <c r="D38" s="20"/>
      <c r="E38" s="17">
        <v>1</v>
      </c>
      <c r="F38" s="17" t="s">
        <v>60</v>
      </c>
      <c r="G38" s="37">
        <v>45909</v>
      </c>
      <c r="H38" s="37">
        <v>45916</v>
      </c>
      <c r="I38" s="19"/>
      <c r="J38" s="20"/>
      <c r="K38" s="20"/>
      <c r="L38" s="20"/>
    </row>
    <row r="39" spans="1:12">
      <c r="A39" s="12">
        <v>31</v>
      </c>
      <c r="B39" s="20" t="s">
        <v>189</v>
      </c>
      <c r="C39" s="20"/>
      <c r="D39" s="20"/>
      <c r="E39" s="17">
        <v>1</v>
      </c>
      <c r="F39" s="17" t="s">
        <v>62</v>
      </c>
      <c r="G39" s="37">
        <v>45912</v>
      </c>
      <c r="H39" s="37">
        <v>45916</v>
      </c>
      <c r="I39" s="19"/>
      <c r="J39" s="20"/>
      <c r="K39" s="20"/>
      <c r="L39" s="20"/>
    </row>
    <row r="40" spans="1:12">
      <c r="A40" s="12">
        <v>32</v>
      </c>
      <c r="B40" s="20" t="s">
        <v>190</v>
      </c>
      <c r="C40" s="20"/>
      <c r="D40" s="20"/>
      <c r="E40" s="17">
        <v>2</v>
      </c>
      <c r="F40" s="17" t="s">
        <v>62</v>
      </c>
      <c r="G40" s="37">
        <v>45912</v>
      </c>
      <c r="H40" s="37">
        <v>45916</v>
      </c>
      <c r="I40" s="19"/>
      <c r="J40" s="20"/>
      <c r="K40" s="20"/>
      <c r="L40" s="20"/>
    </row>
    <row r="41" spans="1:12">
      <c r="A41" s="12">
        <v>33</v>
      </c>
      <c r="B41" s="20" t="s">
        <v>191</v>
      </c>
      <c r="C41" s="20"/>
      <c r="D41" s="20"/>
      <c r="E41" s="17">
        <v>1</v>
      </c>
      <c r="F41" s="17" t="s">
        <v>57</v>
      </c>
      <c r="G41" s="37">
        <v>45909</v>
      </c>
      <c r="H41" s="37">
        <v>45916</v>
      </c>
      <c r="I41" s="19"/>
      <c r="J41" s="20"/>
      <c r="K41" s="20"/>
      <c r="L41" s="20"/>
    </row>
    <row r="42" spans="1:12">
      <c r="A42" s="12">
        <v>34</v>
      </c>
      <c r="B42" s="20" t="s">
        <v>192</v>
      </c>
      <c r="C42" s="20"/>
      <c r="D42" s="20"/>
      <c r="E42" s="17">
        <v>3</v>
      </c>
      <c r="F42" s="17" t="s">
        <v>57</v>
      </c>
      <c r="G42" s="37">
        <v>45909</v>
      </c>
      <c r="H42" s="37">
        <v>45916</v>
      </c>
      <c r="I42" s="19"/>
      <c r="J42" s="20"/>
      <c r="K42" s="20"/>
      <c r="L42" s="20"/>
    </row>
    <row r="43" spans="1:12">
      <c r="A43" s="12">
        <v>35</v>
      </c>
      <c r="B43" s="20" t="s">
        <v>193</v>
      </c>
      <c r="C43" s="20"/>
      <c r="D43" s="17"/>
      <c r="E43" s="17">
        <v>1</v>
      </c>
      <c r="F43" s="17" t="s">
        <v>60</v>
      </c>
      <c r="G43" s="37">
        <v>45909</v>
      </c>
      <c r="H43" s="37">
        <v>45916</v>
      </c>
      <c r="I43" s="19"/>
      <c r="J43" s="20"/>
      <c r="K43" s="20"/>
      <c r="L43" s="20"/>
    </row>
    <row r="44" spans="1:12">
      <c r="A44" s="12">
        <v>36</v>
      </c>
      <c r="B44" s="20" t="s">
        <v>194</v>
      </c>
      <c r="C44" s="20"/>
      <c r="D44" s="20"/>
      <c r="E44" s="17">
        <v>1</v>
      </c>
      <c r="F44" s="17" t="s">
        <v>56</v>
      </c>
      <c r="G44" s="37">
        <v>45909</v>
      </c>
      <c r="H44" s="37">
        <v>45916</v>
      </c>
      <c r="I44" s="19"/>
      <c r="J44" s="20"/>
      <c r="K44" s="20"/>
      <c r="L44" s="20"/>
    </row>
    <row r="45" spans="1:12">
      <c r="A45" s="12">
        <v>37</v>
      </c>
      <c r="B45" s="20" t="s">
        <v>195</v>
      </c>
      <c r="C45" s="14"/>
      <c r="D45" s="15"/>
      <c r="E45" s="17">
        <v>1</v>
      </c>
      <c r="F45" s="17" t="s">
        <v>57</v>
      </c>
      <c r="G45" s="37">
        <v>45909</v>
      </c>
      <c r="H45" s="37">
        <v>45916</v>
      </c>
      <c r="I45" s="19"/>
      <c r="J45" s="20"/>
      <c r="K45" s="20"/>
      <c r="L45" s="20"/>
    </row>
    <row r="46" spans="1:12">
      <c r="A46" s="12">
        <v>38</v>
      </c>
      <c r="B46" s="20" t="s">
        <v>196</v>
      </c>
      <c r="C46" s="20"/>
      <c r="D46" s="20"/>
      <c r="E46" s="17">
        <v>1</v>
      </c>
      <c r="F46" s="17" t="s">
        <v>57</v>
      </c>
      <c r="G46" s="37">
        <v>45909</v>
      </c>
      <c r="H46" s="37">
        <v>45916</v>
      </c>
      <c r="I46" s="19"/>
      <c r="J46" s="20"/>
      <c r="K46" s="20"/>
      <c r="L46" s="20"/>
    </row>
    <row r="47" spans="1:12">
      <c r="A47" s="12">
        <v>39</v>
      </c>
      <c r="B47" s="20" t="s">
        <v>197</v>
      </c>
      <c r="C47" s="20"/>
      <c r="D47" s="20"/>
      <c r="E47" s="17">
        <v>1</v>
      </c>
      <c r="F47" s="17" t="s">
        <v>57</v>
      </c>
      <c r="G47" s="37">
        <v>45909</v>
      </c>
      <c r="H47" s="37">
        <v>45916</v>
      </c>
      <c r="I47" s="19"/>
      <c r="J47" s="20"/>
      <c r="K47" s="20"/>
      <c r="L47" s="20"/>
    </row>
    <row r="48" spans="1:12">
      <c r="A48" s="12">
        <v>40</v>
      </c>
      <c r="B48" s="20" t="s">
        <v>198</v>
      </c>
      <c r="C48" s="14"/>
      <c r="D48" s="17"/>
      <c r="E48" s="17">
        <v>1</v>
      </c>
      <c r="F48" s="17" t="s">
        <v>56</v>
      </c>
      <c r="G48" s="37">
        <v>45909</v>
      </c>
      <c r="H48" s="37">
        <v>45916</v>
      </c>
      <c r="I48" s="19"/>
      <c r="J48" s="20"/>
      <c r="K48" s="20"/>
      <c r="L48" s="20"/>
    </row>
    <row r="49" spans="1:12">
      <c r="A49" s="12">
        <v>41</v>
      </c>
      <c r="B49" s="20" t="s">
        <v>199</v>
      </c>
      <c r="C49" s="20"/>
      <c r="D49" s="20"/>
      <c r="E49" s="17">
        <v>1</v>
      </c>
      <c r="F49" s="17" t="s">
        <v>60</v>
      </c>
      <c r="G49" s="37">
        <v>45909</v>
      </c>
      <c r="H49" s="37">
        <v>45916</v>
      </c>
      <c r="I49" s="19"/>
      <c r="J49" s="20"/>
      <c r="K49" s="20"/>
      <c r="L49" s="20"/>
    </row>
    <row r="50" spans="1:12">
      <c r="A50" s="12">
        <v>42</v>
      </c>
      <c r="B50" s="20" t="s">
        <v>200</v>
      </c>
      <c r="C50" s="20"/>
      <c r="D50" s="20"/>
      <c r="E50" s="17" t="s">
        <v>58</v>
      </c>
      <c r="F50" s="17" t="s">
        <v>59</v>
      </c>
      <c r="G50" s="37">
        <v>45909</v>
      </c>
      <c r="H50" s="37">
        <v>45916</v>
      </c>
      <c r="I50" s="19"/>
      <c r="J50" s="20"/>
      <c r="K50" s="20"/>
      <c r="L50" s="20"/>
    </row>
    <row r="51" spans="1:12">
      <c r="A51" s="12">
        <v>43</v>
      </c>
      <c r="B51" s="20" t="s">
        <v>201</v>
      </c>
      <c r="C51" s="20"/>
      <c r="D51" s="20"/>
      <c r="E51" s="17">
        <v>1</v>
      </c>
      <c r="F51" s="17" t="s">
        <v>57</v>
      </c>
      <c r="G51" s="37">
        <v>45909</v>
      </c>
      <c r="H51" s="37">
        <v>45916</v>
      </c>
      <c r="I51" s="19"/>
      <c r="J51" s="20"/>
      <c r="K51" s="20"/>
      <c r="L51" s="20"/>
    </row>
    <row r="52" spans="1:12">
      <c r="A52" s="12">
        <v>44</v>
      </c>
      <c r="B52" s="20" t="s">
        <v>202</v>
      </c>
      <c r="C52" s="20"/>
      <c r="D52" s="20"/>
      <c r="E52" s="17">
        <v>1</v>
      </c>
      <c r="F52" s="17" t="s">
        <v>60</v>
      </c>
      <c r="G52" s="37">
        <v>45909</v>
      </c>
      <c r="H52" s="37">
        <v>45916</v>
      </c>
      <c r="I52" s="19"/>
      <c r="J52" s="20"/>
      <c r="K52" s="20"/>
      <c r="L52" s="20"/>
    </row>
    <row r="53" spans="1:12">
      <c r="A53" s="12">
        <v>45</v>
      </c>
      <c r="B53" s="20" t="s">
        <v>203</v>
      </c>
      <c r="C53" s="20"/>
      <c r="D53" s="20"/>
      <c r="E53" s="17">
        <v>1</v>
      </c>
      <c r="F53" s="17" t="s">
        <v>57</v>
      </c>
      <c r="G53" s="37">
        <v>45909</v>
      </c>
      <c r="H53" s="37">
        <v>45916</v>
      </c>
      <c r="I53" s="19"/>
      <c r="J53" s="20"/>
      <c r="K53" s="20"/>
      <c r="L53" s="20"/>
    </row>
    <row r="54" spans="1:12">
      <c r="A54" s="12">
        <v>46</v>
      </c>
      <c r="B54" s="20" t="s">
        <v>204</v>
      </c>
      <c r="C54" s="20"/>
      <c r="D54" s="20"/>
      <c r="E54" s="17">
        <v>1</v>
      </c>
      <c r="F54" s="20" t="s">
        <v>130</v>
      </c>
      <c r="G54" s="37">
        <v>45909</v>
      </c>
      <c r="H54" s="37">
        <v>45916</v>
      </c>
      <c r="I54" s="19"/>
      <c r="J54" s="20"/>
      <c r="K54" s="20"/>
      <c r="L54" s="20"/>
    </row>
  </sheetData>
  <sortState ref="B9:I75">
    <sortCondition ref="B9"/>
  </sortState>
  <mergeCells count="4">
    <mergeCell ref="A1:L1"/>
    <mergeCell ref="A2:L2"/>
    <mergeCell ref="F3:H3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54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5"/>
  <sheetViews>
    <sheetView topLeftCell="A3" workbookViewId="0">
      <selection activeCell="I43" sqref="I42:I43"/>
    </sheetView>
  </sheetViews>
  <sheetFormatPr defaultRowHeight="13.8"/>
  <cols>
    <col min="1" max="1" width="6" customWidth="1"/>
    <col min="2" max="2" width="21.8984375" customWidth="1"/>
    <col min="4" max="4" width="7" customWidth="1"/>
    <col min="5" max="5" width="7.59765625" customWidth="1"/>
    <col min="6" max="7" width="11.09765625" customWidth="1"/>
    <col min="8" max="8" width="10.09765625" customWidth="1"/>
    <col min="9" max="9" width="10.59765625" customWidth="1"/>
  </cols>
  <sheetData>
    <row r="1" spans="1:12" ht="22.2">
      <c r="A1" s="58">
        <v>45917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2">
      <c r="A2" s="59" t="s">
        <v>0</v>
      </c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0"/>
      <c r="J3" s="6"/>
      <c r="K3" s="20"/>
      <c r="L3" s="20"/>
    </row>
    <row r="4" spans="1:12">
      <c r="A4" s="7"/>
      <c r="B4" s="2" t="s">
        <v>5</v>
      </c>
      <c r="C4" s="3" t="s">
        <v>6</v>
      </c>
      <c r="D4" s="4"/>
      <c r="E4" s="4"/>
      <c r="F4" s="50" t="s">
        <v>7</v>
      </c>
      <c r="G4" s="50" t="s">
        <v>8</v>
      </c>
      <c r="H4" s="8" t="s">
        <v>9</v>
      </c>
      <c r="I4" s="8"/>
      <c r="J4" s="9"/>
      <c r="K4" s="20"/>
      <c r="L4" s="20"/>
    </row>
    <row r="5" spans="1:12">
      <c r="A5" s="7"/>
      <c r="B5" s="2" t="s">
        <v>10</v>
      </c>
      <c r="C5" s="62" t="s">
        <v>11</v>
      </c>
      <c r="D5" s="62"/>
      <c r="E5" s="62"/>
      <c r="F5" s="50" t="s">
        <v>12</v>
      </c>
      <c r="G5" s="50" t="s">
        <v>13</v>
      </c>
      <c r="H5" s="10" t="s">
        <v>14</v>
      </c>
      <c r="I5" s="10"/>
      <c r="J5" s="2"/>
      <c r="K5" s="20"/>
      <c r="L5" s="20"/>
    </row>
    <row r="6" spans="1:12">
      <c r="A6" s="7"/>
      <c r="B6" s="2" t="s">
        <v>15</v>
      </c>
      <c r="C6" s="3" t="s">
        <v>16</v>
      </c>
      <c r="D6" s="4"/>
      <c r="E6" s="4"/>
      <c r="F6" s="50" t="s">
        <v>17</v>
      </c>
      <c r="G6" s="50" t="s">
        <v>18</v>
      </c>
      <c r="H6" s="8" t="s">
        <v>19</v>
      </c>
      <c r="I6" s="8"/>
      <c r="J6" s="9"/>
      <c r="K6" s="20"/>
      <c r="L6" s="20"/>
    </row>
    <row r="7" spans="1:12">
      <c r="A7" s="7"/>
      <c r="B7" s="7"/>
      <c r="C7" s="3"/>
      <c r="D7" s="4"/>
      <c r="E7" s="4"/>
      <c r="F7" s="50" t="s">
        <v>20</v>
      </c>
      <c r="G7" s="8" t="s">
        <v>21</v>
      </c>
      <c r="H7" s="10" t="s">
        <v>22</v>
      </c>
      <c r="I7" s="10"/>
      <c r="J7" s="2"/>
      <c r="K7" s="20"/>
      <c r="L7" s="20"/>
    </row>
    <row r="8" spans="1:12" ht="55.2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36" t="s">
        <v>31</v>
      </c>
      <c r="I8" s="36"/>
      <c r="J8" s="36" t="s">
        <v>31</v>
      </c>
      <c r="K8" s="38" t="s">
        <v>32</v>
      </c>
      <c r="L8" s="20"/>
    </row>
    <row r="9" spans="1:12">
      <c r="A9" s="20">
        <v>1</v>
      </c>
      <c r="B9" s="51" t="s">
        <v>159</v>
      </c>
      <c r="C9" s="52"/>
      <c r="D9" s="39"/>
      <c r="E9" s="42">
        <v>1</v>
      </c>
      <c r="F9" s="53" t="s">
        <v>131</v>
      </c>
      <c r="G9" s="40">
        <v>45910</v>
      </c>
      <c r="H9" s="40">
        <v>45917</v>
      </c>
      <c r="I9" s="55"/>
      <c r="J9" s="20"/>
      <c r="K9" s="20"/>
      <c r="L9" s="20"/>
    </row>
    <row r="10" spans="1:12">
      <c r="A10" s="20">
        <v>2</v>
      </c>
      <c r="B10" s="51" t="s">
        <v>160</v>
      </c>
      <c r="C10" s="20"/>
      <c r="D10" s="20"/>
      <c r="E10" s="42" t="s">
        <v>58</v>
      </c>
      <c r="F10" s="54" t="s">
        <v>62</v>
      </c>
      <c r="G10" s="40">
        <v>45910</v>
      </c>
      <c r="H10" s="40">
        <v>45917</v>
      </c>
      <c r="I10" s="55"/>
      <c r="J10" s="20"/>
      <c r="K10" s="20"/>
      <c r="L10" s="20"/>
    </row>
    <row r="11" spans="1:12">
      <c r="A11" s="20">
        <v>3</v>
      </c>
      <c r="B11" s="51" t="s">
        <v>161</v>
      </c>
      <c r="C11" s="20"/>
      <c r="D11" s="20"/>
      <c r="E11" s="42">
        <v>1</v>
      </c>
      <c r="F11" s="54" t="s">
        <v>56</v>
      </c>
      <c r="G11" s="40">
        <v>45910</v>
      </c>
      <c r="H11" s="40">
        <v>45917</v>
      </c>
      <c r="I11" s="55"/>
      <c r="J11" s="20"/>
      <c r="K11" s="20"/>
      <c r="L11" s="20"/>
    </row>
    <row r="12" spans="1:12">
      <c r="A12" s="20">
        <v>4</v>
      </c>
      <c r="B12" s="51" t="s">
        <v>162</v>
      </c>
      <c r="C12" s="20"/>
      <c r="D12" s="39"/>
      <c r="E12" s="42">
        <v>1</v>
      </c>
      <c r="F12" s="54" t="s">
        <v>57</v>
      </c>
      <c r="G12" s="40">
        <v>45910</v>
      </c>
      <c r="H12" s="40">
        <v>45917</v>
      </c>
      <c r="I12" s="55"/>
      <c r="J12" s="20"/>
      <c r="K12" s="20"/>
      <c r="L12" s="20"/>
    </row>
    <row r="13" spans="1:12">
      <c r="A13" s="20">
        <v>5</v>
      </c>
      <c r="B13" s="51" t="s">
        <v>163</v>
      </c>
      <c r="C13" s="20"/>
      <c r="D13" s="20"/>
      <c r="E13" s="42">
        <v>3</v>
      </c>
      <c r="F13" s="54" t="s">
        <v>57</v>
      </c>
      <c r="G13" s="40">
        <v>45910</v>
      </c>
      <c r="H13" s="40">
        <v>45917</v>
      </c>
      <c r="I13" s="55"/>
      <c r="J13" s="20"/>
      <c r="K13" s="20"/>
      <c r="L13" s="20"/>
    </row>
    <row r="14" spans="1:12">
      <c r="A14" s="20">
        <v>6</v>
      </c>
      <c r="B14" s="51" t="s">
        <v>164</v>
      </c>
      <c r="C14" s="20"/>
      <c r="D14" s="39"/>
      <c r="E14" s="42">
        <v>1</v>
      </c>
      <c r="F14" s="54" t="s">
        <v>57</v>
      </c>
      <c r="G14" s="40">
        <v>45910</v>
      </c>
      <c r="H14" s="40">
        <v>45917</v>
      </c>
      <c r="I14" s="55"/>
      <c r="J14" s="20"/>
      <c r="K14" s="20"/>
      <c r="L14" s="20"/>
    </row>
    <row r="15" spans="1:12">
      <c r="A15" s="20">
        <v>7</v>
      </c>
      <c r="B15" s="51" t="s">
        <v>165</v>
      </c>
      <c r="C15" s="20"/>
      <c r="D15" s="39"/>
      <c r="E15" s="42">
        <v>3</v>
      </c>
      <c r="F15" s="54" t="s">
        <v>57</v>
      </c>
      <c r="G15" s="40">
        <v>45910</v>
      </c>
      <c r="H15" s="40">
        <v>45917</v>
      </c>
      <c r="I15" s="55"/>
      <c r="J15" s="20"/>
      <c r="K15" s="20"/>
      <c r="L15" s="20"/>
    </row>
    <row r="16" spans="1:12">
      <c r="A16" s="20">
        <v>8</v>
      </c>
      <c r="B16" s="51" t="s">
        <v>166</v>
      </c>
      <c r="C16" s="20"/>
      <c r="D16" s="20"/>
      <c r="E16" s="17" t="s">
        <v>58</v>
      </c>
      <c r="F16" s="54" t="s">
        <v>111</v>
      </c>
      <c r="G16" s="40">
        <v>45910</v>
      </c>
      <c r="H16" s="40">
        <v>45917</v>
      </c>
      <c r="I16" s="55"/>
      <c r="J16" s="20"/>
      <c r="K16" s="20"/>
      <c r="L16" s="20"/>
    </row>
    <row r="17" spans="1:12">
      <c r="A17" s="20">
        <v>9</v>
      </c>
      <c r="B17" s="51" t="s">
        <v>167</v>
      </c>
      <c r="C17" s="20"/>
      <c r="D17" s="39"/>
      <c r="E17" s="42">
        <v>3</v>
      </c>
      <c r="F17" s="54" t="s">
        <v>57</v>
      </c>
      <c r="G17" s="40">
        <v>45910</v>
      </c>
      <c r="H17" s="40">
        <v>45917</v>
      </c>
      <c r="I17" s="55"/>
      <c r="J17" s="20"/>
      <c r="K17" s="20"/>
      <c r="L17" s="20"/>
    </row>
    <row r="18" spans="1:12">
      <c r="A18" s="20">
        <v>10</v>
      </c>
      <c r="B18" s="51" t="s">
        <v>168</v>
      </c>
      <c r="C18" s="20"/>
      <c r="D18" s="20"/>
      <c r="E18" s="42" t="s">
        <v>97</v>
      </c>
      <c r="F18" s="54" t="s">
        <v>56</v>
      </c>
      <c r="G18" s="40">
        <v>45910</v>
      </c>
      <c r="H18" s="40">
        <v>45917</v>
      </c>
      <c r="I18" s="55"/>
      <c r="J18" s="20"/>
      <c r="K18" s="20"/>
      <c r="L18" s="20"/>
    </row>
    <row r="19" spans="1:12">
      <c r="A19" s="20">
        <v>11</v>
      </c>
      <c r="B19" s="51" t="s">
        <v>169</v>
      </c>
      <c r="C19" s="20"/>
      <c r="D19" s="20"/>
      <c r="E19" s="42">
        <v>7</v>
      </c>
      <c r="F19" s="54" t="s">
        <v>57</v>
      </c>
      <c r="G19" s="40">
        <v>45910</v>
      </c>
      <c r="H19" s="40">
        <v>45917</v>
      </c>
      <c r="I19" s="55"/>
      <c r="J19" s="20"/>
      <c r="K19" s="20"/>
      <c r="L19" s="20"/>
    </row>
    <row r="20" spans="1:12">
      <c r="A20" s="20">
        <v>12</v>
      </c>
      <c r="B20" s="51" t="s">
        <v>170</v>
      </c>
      <c r="C20" s="20"/>
      <c r="D20" s="20"/>
      <c r="E20" s="42" t="s">
        <v>132</v>
      </c>
      <c r="F20" s="54" t="s">
        <v>119</v>
      </c>
      <c r="G20" s="40">
        <v>45910</v>
      </c>
      <c r="H20" s="40">
        <v>45917</v>
      </c>
      <c r="I20" s="55"/>
      <c r="J20" s="20"/>
      <c r="K20" s="20"/>
      <c r="L20" s="20"/>
    </row>
    <row r="21" spans="1:12">
      <c r="A21" s="20">
        <v>13</v>
      </c>
      <c r="B21" s="51" t="s">
        <v>171</v>
      </c>
      <c r="C21" s="20"/>
      <c r="D21" s="20"/>
      <c r="E21" s="42">
        <v>1</v>
      </c>
      <c r="F21" s="54" t="s">
        <v>56</v>
      </c>
      <c r="G21" s="40">
        <v>45910</v>
      </c>
      <c r="H21" s="40">
        <v>45917</v>
      </c>
      <c r="I21" s="55"/>
      <c r="J21" s="20"/>
      <c r="K21" s="20"/>
      <c r="L21" s="20"/>
    </row>
    <row r="22" spans="1:12">
      <c r="A22" s="20">
        <v>14</v>
      </c>
      <c r="B22" s="51" t="s">
        <v>172</v>
      </c>
      <c r="C22" s="20"/>
      <c r="D22" s="20"/>
      <c r="E22" s="42">
        <v>1</v>
      </c>
      <c r="F22" s="54" t="s">
        <v>57</v>
      </c>
      <c r="G22" s="40">
        <v>45910</v>
      </c>
      <c r="H22" s="40">
        <v>45917</v>
      </c>
      <c r="I22" s="55"/>
      <c r="J22" s="20"/>
      <c r="K22" s="20"/>
      <c r="L22" s="20"/>
    </row>
    <row r="23" spans="1:12">
      <c r="A23" s="20">
        <v>15</v>
      </c>
      <c r="B23" s="51" t="s">
        <v>173</v>
      </c>
      <c r="C23" s="20"/>
      <c r="D23" s="39"/>
      <c r="E23" s="42">
        <v>1</v>
      </c>
      <c r="F23" s="54" t="s">
        <v>116</v>
      </c>
      <c r="G23" s="40">
        <v>45910</v>
      </c>
      <c r="H23" s="40">
        <v>45917</v>
      </c>
      <c r="I23" s="55"/>
      <c r="J23" s="20"/>
      <c r="K23" s="20"/>
      <c r="L23" s="20"/>
    </row>
    <row r="24" spans="1:12">
      <c r="A24" s="20">
        <v>16</v>
      </c>
      <c r="B24" s="51" t="s">
        <v>174</v>
      </c>
      <c r="C24" s="20"/>
      <c r="D24" s="39"/>
      <c r="E24" s="42">
        <v>1</v>
      </c>
      <c r="F24" s="54" t="s">
        <v>56</v>
      </c>
      <c r="G24" s="40">
        <v>45910</v>
      </c>
      <c r="H24" s="40">
        <v>45917</v>
      </c>
      <c r="I24" s="55"/>
      <c r="J24" s="20"/>
      <c r="K24" s="20"/>
      <c r="L24" s="20"/>
    </row>
    <row r="25" spans="1:12">
      <c r="A25" s="20">
        <v>17</v>
      </c>
      <c r="B25" s="51" t="s">
        <v>175</v>
      </c>
      <c r="C25" s="20"/>
      <c r="D25" s="39"/>
      <c r="E25" s="42">
        <v>1</v>
      </c>
      <c r="F25" s="54" t="s">
        <v>116</v>
      </c>
      <c r="G25" s="40">
        <v>45910</v>
      </c>
      <c r="H25" s="40">
        <v>45917</v>
      </c>
      <c r="I25" s="55"/>
      <c r="J25" s="20"/>
      <c r="K25" s="20"/>
      <c r="L25" s="20"/>
    </row>
    <row r="26" spans="1:12">
      <c r="A26" s="20">
        <v>18</v>
      </c>
      <c r="B26" s="51" t="s">
        <v>176</v>
      </c>
      <c r="C26" s="20"/>
      <c r="D26" s="20"/>
      <c r="E26" s="42" t="s">
        <v>58</v>
      </c>
      <c r="F26" s="54" t="s">
        <v>62</v>
      </c>
      <c r="G26" s="40">
        <v>45910</v>
      </c>
      <c r="H26" s="40">
        <v>45917</v>
      </c>
      <c r="I26" s="55"/>
      <c r="J26" s="20"/>
      <c r="K26" s="20"/>
      <c r="L26" s="20"/>
    </row>
    <row r="27" spans="1:12">
      <c r="A27" s="20">
        <v>19</v>
      </c>
      <c r="B27" s="51" t="s">
        <v>177</v>
      </c>
      <c r="C27" s="20"/>
      <c r="D27" s="20"/>
      <c r="E27" s="42">
        <v>3</v>
      </c>
      <c r="F27" s="54" t="s">
        <v>57</v>
      </c>
      <c r="G27" s="40">
        <v>45910</v>
      </c>
      <c r="H27" s="40">
        <v>45917</v>
      </c>
      <c r="I27" s="55"/>
      <c r="J27" s="20"/>
      <c r="K27" s="20"/>
      <c r="L27" s="20"/>
    </row>
    <row r="28" spans="1:12">
      <c r="A28" s="20">
        <v>20</v>
      </c>
      <c r="B28" s="51" t="s">
        <v>178</v>
      </c>
      <c r="C28" s="20"/>
      <c r="D28" s="20"/>
      <c r="E28" s="42">
        <v>1</v>
      </c>
      <c r="F28" s="54" t="s">
        <v>62</v>
      </c>
      <c r="G28" s="40">
        <v>45910</v>
      </c>
      <c r="H28" s="40">
        <v>45917</v>
      </c>
      <c r="I28" s="55"/>
      <c r="J28" s="20"/>
      <c r="K28" s="20"/>
      <c r="L28" s="20"/>
    </row>
    <row r="29" spans="1:12">
      <c r="A29" s="20">
        <v>21</v>
      </c>
      <c r="B29" s="51" t="s">
        <v>179</v>
      </c>
      <c r="C29" s="20"/>
      <c r="D29" s="39"/>
      <c r="E29" s="42" t="s">
        <v>97</v>
      </c>
      <c r="F29" s="54" t="s">
        <v>62</v>
      </c>
      <c r="G29" s="40">
        <v>45910</v>
      </c>
      <c r="H29" s="40">
        <v>45917</v>
      </c>
      <c r="I29" s="55"/>
      <c r="J29" s="20"/>
      <c r="K29" s="20"/>
      <c r="L29" s="20"/>
    </row>
    <row r="30" spans="1:12">
      <c r="A30" s="20">
        <v>22</v>
      </c>
      <c r="B30" s="51" t="s">
        <v>180</v>
      </c>
      <c r="C30" s="20"/>
      <c r="D30" s="20"/>
      <c r="E30" s="42">
        <v>1</v>
      </c>
      <c r="F30" s="54" t="s">
        <v>62</v>
      </c>
      <c r="G30" s="40">
        <v>45910</v>
      </c>
      <c r="H30" s="40">
        <v>45917</v>
      </c>
      <c r="I30" s="55"/>
      <c r="J30" s="20"/>
      <c r="K30" s="20"/>
      <c r="L30" s="20"/>
    </row>
    <row r="31" spans="1:12">
      <c r="A31" s="20">
        <v>23</v>
      </c>
      <c r="B31" s="51" t="s">
        <v>181</v>
      </c>
      <c r="C31" s="20"/>
      <c r="D31" s="20"/>
      <c r="E31" s="42">
        <v>2</v>
      </c>
      <c r="F31" s="54" t="s">
        <v>62</v>
      </c>
      <c r="G31" s="40">
        <v>45910</v>
      </c>
      <c r="H31" s="40">
        <v>45917</v>
      </c>
      <c r="I31" s="55"/>
      <c r="J31" s="20"/>
      <c r="K31" s="20"/>
      <c r="L31" s="20"/>
    </row>
    <row r="32" spans="1:12">
      <c r="A32" s="20">
        <v>24</v>
      </c>
      <c r="B32" s="51" t="s">
        <v>182</v>
      </c>
      <c r="C32" s="20"/>
      <c r="D32" s="20"/>
      <c r="E32" s="42">
        <v>1</v>
      </c>
      <c r="F32" s="54" t="s">
        <v>57</v>
      </c>
      <c r="G32" s="40">
        <v>45910</v>
      </c>
      <c r="H32" s="40">
        <v>45917</v>
      </c>
      <c r="I32" s="55"/>
      <c r="J32" s="20"/>
      <c r="K32" s="20"/>
      <c r="L32" s="20"/>
    </row>
    <row r="33" spans="1:12">
      <c r="A33" s="20">
        <v>25</v>
      </c>
      <c r="B33" s="51" t="s">
        <v>183</v>
      </c>
      <c r="C33" s="20"/>
      <c r="D33" s="39"/>
      <c r="E33" s="42">
        <v>1</v>
      </c>
      <c r="F33" s="54" t="s">
        <v>56</v>
      </c>
      <c r="G33" s="40">
        <v>45910</v>
      </c>
      <c r="H33" s="40">
        <v>45917</v>
      </c>
      <c r="I33" s="55"/>
      <c r="J33" s="20"/>
      <c r="K33" s="20"/>
      <c r="L33" s="20"/>
    </row>
    <row r="34" spans="1:12">
      <c r="A34" s="20">
        <v>26</v>
      </c>
      <c r="B34" s="51" t="s">
        <v>184</v>
      </c>
      <c r="C34" s="20"/>
      <c r="D34" s="20"/>
      <c r="E34" s="42">
        <v>1</v>
      </c>
      <c r="F34" s="54" t="s">
        <v>62</v>
      </c>
      <c r="G34" s="40">
        <v>45910</v>
      </c>
      <c r="H34" s="40">
        <v>45917</v>
      </c>
      <c r="I34" s="55"/>
      <c r="J34" s="20"/>
      <c r="K34" s="20"/>
      <c r="L34" s="20"/>
    </row>
    <row r="35" spans="1:12">
      <c r="A35" s="20">
        <v>27</v>
      </c>
      <c r="B35" s="51" t="s">
        <v>185</v>
      </c>
      <c r="C35" s="20"/>
      <c r="D35" s="20"/>
      <c r="E35" s="42">
        <v>2</v>
      </c>
      <c r="F35" s="54" t="s">
        <v>62</v>
      </c>
      <c r="G35" s="40">
        <v>45910</v>
      </c>
      <c r="H35" s="40">
        <v>45917</v>
      </c>
      <c r="I35" s="55"/>
      <c r="J35" s="20"/>
      <c r="K35" s="20"/>
      <c r="L35" s="20"/>
    </row>
  </sheetData>
  <sortState ref="B10:I35">
    <sortCondition ref="B9"/>
  </sortState>
  <mergeCells count="4">
    <mergeCell ref="A1:L1"/>
    <mergeCell ref="A2:L2"/>
    <mergeCell ref="F3:H3"/>
    <mergeCell ref="C5:E5"/>
  </mergeCells>
  <pageMargins left="0.7" right="0.7" top="0.75" bottom="0.75" header="0.3" footer="0.3"/>
  <pageSetup paperSize="9" orientation="landscape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43"/>
  <sheetViews>
    <sheetView topLeftCell="A12" zoomScale="98" zoomScaleNormal="45" workbookViewId="0">
      <selection activeCell="F20" sqref="F20"/>
    </sheetView>
  </sheetViews>
  <sheetFormatPr defaultRowHeight="13.8"/>
  <cols>
    <col min="1" max="1" width="4.09765625" customWidth="1"/>
    <col min="2" max="2" width="19" customWidth="1"/>
    <col min="3" max="3" width="12.59765625" customWidth="1"/>
    <col min="4" max="4" width="8.19921875" customWidth="1"/>
    <col min="5" max="5" width="12.296875" customWidth="1"/>
    <col min="6" max="6" width="15.59765625" customWidth="1"/>
    <col min="7" max="7" width="11.69921875" customWidth="1"/>
    <col min="8" max="8" width="9.09765625" customWidth="1"/>
    <col min="9" max="9" width="7.5" customWidth="1"/>
    <col min="10" max="10" width="10.8984375" customWidth="1"/>
  </cols>
  <sheetData>
    <row r="1" spans="1:12" ht="22.2">
      <c r="A1" s="58">
        <v>45918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2">
      <c r="A2" s="59" t="s">
        <v>0</v>
      </c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20"/>
      <c r="L3" s="20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20"/>
      <c r="L4" s="20"/>
    </row>
    <row r="5" spans="1:12" ht="14.25" customHeight="1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20"/>
      <c r="L5" s="20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20"/>
      <c r="L6" s="20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0"/>
      <c r="L7" s="20"/>
    </row>
    <row r="8" spans="1:12" ht="39.6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36" t="s">
        <v>31</v>
      </c>
      <c r="I8" s="36"/>
      <c r="J8" s="36" t="s">
        <v>31</v>
      </c>
      <c r="K8" s="38" t="s">
        <v>32</v>
      </c>
      <c r="L8" s="20"/>
    </row>
    <row r="9" spans="1:12">
      <c r="A9" s="12">
        <v>1</v>
      </c>
      <c r="B9" s="20" t="s">
        <v>159</v>
      </c>
      <c r="C9" s="20"/>
      <c r="D9" s="20"/>
      <c r="E9" s="17">
        <v>1</v>
      </c>
      <c r="F9" s="17" t="s">
        <v>136</v>
      </c>
      <c r="G9" s="37">
        <v>45911</v>
      </c>
      <c r="H9" s="37">
        <v>45887</v>
      </c>
      <c r="I9" s="19"/>
      <c r="J9" s="20"/>
      <c r="K9" s="20"/>
      <c r="L9" s="20"/>
    </row>
    <row r="10" spans="1:12">
      <c r="A10" s="12">
        <v>2</v>
      </c>
      <c r="B10" s="20" t="s">
        <v>160</v>
      </c>
      <c r="C10" s="20"/>
      <c r="D10" s="20"/>
      <c r="E10" s="17">
        <v>1</v>
      </c>
      <c r="F10" s="17" t="s">
        <v>93</v>
      </c>
      <c r="G10" s="37">
        <v>45911</v>
      </c>
      <c r="H10" s="37">
        <v>45887</v>
      </c>
      <c r="I10" s="19"/>
      <c r="J10" s="22"/>
      <c r="K10" s="20"/>
      <c r="L10" s="20"/>
    </row>
    <row r="11" spans="1:12">
      <c r="A11" s="12">
        <v>3</v>
      </c>
      <c r="B11" s="20" t="s">
        <v>161</v>
      </c>
      <c r="C11" s="21"/>
      <c r="D11" s="17"/>
      <c r="E11" s="17" t="s">
        <v>58</v>
      </c>
      <c r="F11" s="17" t="s">
        <v>59</v>
      </c>
      <c r="G11" s="37">
        <v>45911</v>
      </c>
      <c r="H11" s="37">
        <v>45887</v>
      </c>
      <c r="I11" s="19"/>
      <c r="J11" s="20"/>
      <c r="K11" s="20"/>
      <c r="L11" s="20"/>
    </row>
    <row r="12" spans="1:12">
      <c r="A12" s="12">
        <v>4</v>
      </c>
      <c r="B12" s="20" t="s">
        <v>162</v>
      </c>
      <c r="C12" s="21"/>
      <c r="D12" s="17"/>
      <c r="E12" s="16" t="s">
        <v>112</v>
      </c>
      <c r="F12" s="17" t="s">
        <v>62</v>
      </c>
      <c r="G12" s="37">
        <v>45911</v>
      </c>
      <c r="H12" s="37">
        <v>45887</v>
      </c>
      <c r="I12" s="19"/>
      <c r="J12" s="20"/>
      <c r="K12" s="20"/>
      <c r="L12" s="20"/>
    </row>
    <row r="13" spans="1:12">
      <c r="A13" s="12">
        <v>5</v>
      </c>
      <c r="B13" s="20" t="s">
        <v>163</v>
      </c>
      <c r="C13" s="21"/>
      <c r="D13" s="17"/>
      <c r="E13" s="16" t="s">
        <v>123</v>
      </c>
      <c r="F13" s="17" t="s">
        <v>80</v>
      </c>
      <c r="G13" s="37">
        <v>45911</v>
      </c>
      <c r="H13" s="37">
        <v>45887</v>
      </c>
      <c r="I13" s="19"/>
      <c r="J13" s="22"/>
      <c r="K13" s="20"/>
      <c r="L13" s="20"/>
    </row>
    <row r="14" spans="1:12">
      <c r="A14" s="12">
        <v>6</v>
      </c>
      <c r="B14" s="20" t="s">
        <v>164</v>
      </c>
      <c r="C14" s="20"/>
      <c r="D14" s="20"/>
      <c r="E14" s="17" t="s">
        <v>91</v>
      </c>
      <c r="F14" s="17" t="s">
        <v>135</v>
      </c>
      <c r="G14" s="37">
        <v>45911</v>
      </c>
      <c r="H14" s="37">
        <v>45887</v>
      </c>
      <c r="I14" s="19"/>
      <c r="J14" s="22"/>
      <c r="K14" s="20"/>
      <c r="L14" s="20"/>
    </row>
    <row r="15" spans="1:12">
      <c r="A15" s="12">
        <v>7</v>
      </c>
      <c r="B15" s="20" t="s">
        <v>165</v>
      </c>
      <c r="C15" s="14"/>
      <c r="D15" s="17"/>
      <c r="E15" s="16">
        <v>1</v>
      </c>
      <c r="F15" s="17" t="s">
        <v>93</v>
      </c>
      <c r="G15" s="37">
        <v>45911</v>
      </c>
      <c r="H15" s="37">
        <v>45887</v>
      </c>
      <c r="I15" s="19"/>
      <c r="J15" s="20"/>
      <c r="K15" s="20"/>
      <c r="L15" s="20"/>
    </row>
    <row r="16" spans="1:12">
      <c r="A16" s="12">
        <v>8</v>
      </c>
      <c r="B16" s="20" t="s">
        <v>166</v>
      </c>
      <c r="C16" s="20"/>
      <c r="D16" s="20"/>
      <c r="E16" s="17" t="s">
        <v>61</v>
      </c>
      <c r="F16" s="17" t="s">
        <v>59</v>
      </c>
      <c r="G16" s="37">
        <v>45911</v>
      </c>
      <c r="H16" s="37">
        <v>45887</v>
      </c>
      <c r="I16" s="19"/>
      <c r="J16" s="22"/>
      <c r="K16" s="20"/>
      <c r="L16" s="20"/>
    </row>
    <row r="17" spans="1:12">
      <c r="A17" s="12">
        <v>9</v>
      </c>
      <c r="B17" s="20" t="s">
        <v>167</v>
      </c>
      <c r="C17" s="20"/>
      <c r="D17" s="20"/>
      <c r="E17" s="17" t="s">
        <v>91</v>
      </c>
      <c r="F17" s="17" t="s">
        <v>134</v>
      </c>
      <c r="G17" s="37">
        <v>45911</v>
      </c>
      <c r="H17" s="37">
        <v>45887</v>
      </c>
      <c r="I17" s="19"/>
      <c r="J17" s="22"/>
      <c r="K17" s="20"/>
      <c r="L17" s="20"/>
    </row>
    <row r="18" spans="1:12">
      <c r="A18" s="12">
        <v>10</v>
      </c>
      <c r="B18" s="20" t="s">
        <v>168</v>
      </c>
      <c r="C18" s="20"/>
      <c r="D18" s="20"/>
      <c r="E18" s="17" t="s">
        <v>58</v>
      </c>
      <c r="F18" s="17" t="s">
        <v>59</v>
      </c>
      <c r="G18" s="37">
        <v>45911</v>
      </c>
      <c r="H18" s="37">
        <v>45887</v>
      </c>
      <c r="I18" s="19"/>
      <c r="J18" s="20"/>
      <c r="K18" s="20"/>
      <c r="L18" s="20"/>
    </row>
    <row r="19" spans="1:12">
      <c r="A19" s="12">
        <v>11</v>
      </c>
      <c r="B19" s="20" t="s">
        <v>169</v>
      </c>
      <c r="C19" s="20"/>
      <c r="D19" s="20"/>
      <c r="E19" s="17">
        <v>1</v>
      </c>
      <c r="F19" s="17" t="s">
        <v>60</v>
      </c>
      <c r="G19" s="37">
        <v>45911</v>
      </c>
      <c r="H19" s="37">
        <v>45887</v>
      </c>
      <c r="I19" s="19"/>
      <c r="J19" s="22"/>
      <c r="K19" s="20"/>
      <c r="L19" s="20"/>
    </row>
    <row r="20" spans="1:12">
      <c r="A20" s="12">
        <v>12</v>
      </c>
      <c r="B20" s="20" t="s">
        <v>170</v>
      </c>
      <c r="C20" s="20"/>
      <c r="D20" s="20"/>
      <c r="E20" s="17">
        <v>1</v>
      </c>
      <c r="F20" s="17" t="s">
        <v>93</v>
      </c>
      <c r="G20" s="37">
        <v>45911</v>
      </c>
      <c r="H20" s="37">
        <v>45887</v>
      </c>
      <c r="I20" s="19"/>
      <c r="J20" s="22"/>
      <c r="K20" s="20"/>
      <c r="L20" s="20"/>
    </row>
    <row r="21" spans="1:12">
      <c r="A21" s="12">
        <v>13</v>
      </c>
      <c r="B21" s="20" t="s">
        <v>171</v>
      </c>
      <c r="C21" s="20"/>
      <c r="D21" s="20"/>
      <c r="E21" s="17">
        <v>1</v>
      </c>
      <c r="F21" s="17" t="s">
        <v>60</v>
      </c>
      <c r="G21" s="37">
        <v>45911</v>
      </c>
      <c r="H21" s="37">
        <v>45887</v>
      </c>
      <c r="I21" s="19"/>
      <c r="J21" s="22"/>
      <c r="K21" s="20"/>
      <c r="L21" s="20"/>
    </row>
    <row r="22" spans="1:12">
      <c r="A22" s="12">
        <v>14</v>
      </c>
      <c r="B22" s="20" t="s">
        <v>172</v>
      </c>
      <c r="C22" s="20"/>
      <c r="D22" s="20"/>
      <c r="E22" s="17">
        <v>3</v>
      </c>
      <c r="F22" s="17" t="s">
        <v>93</v>
      </c>
      <c r="G22" s="37">
        <v>45911</v>
      </c>
      <c r="H22" s="37">
        <v>45887</v>
      </c>
      <c r="I22" s="19"/>
      <c r="J22" s="20"/>
      <c r="K22" s="20"/>
      <c r="L22" s="20"/>
    </row>
    <row r="23" spans="1:12">
      <c r="A23" s="12">
        <v>15</v>
      </c>
      <c r="B23" s="20" t="s">
        <v>173</v>
      </c>
      <c r="C23" s="20"/>
      <c r="D23" s="20"/>
      <c r="E23" s="17">
        <v>1</v>
      </c>
      <c r="F23" s="17" t="s">
        <v>93</v>
      </c>
      <c r="G23" s="37">
        <v>45911</v>
      </c>
      <c r="H23" s="37">
        <v>45887</v>
      </c>
      <c r="I23" s="19"/>
      <c r="J23" s="20"/>
      <c r="K23" s="20"/>
      <c r="L23" s="20"/>
    </row>
    <row r="24" spans="1:12">
      <c r="A24" s="12">
        <v>16</v>
      </c>
      <c r="B24" s="20" t="s">
        <v>174</v>
      </c>
      <c r="C24" s="20"/>
      <c r="D24" s="20"/>
      <c r="E24" s="17">
        <v>1</v>
      </c>
      <c r="F24" s="17" t="s">
        <v>36</v>
      </c>
      <c r="G24" s="37">
        <v>45911</v>
      </c>
      <c r="H24" s="37">
        <v>45887</v>
      </c>
      <c r="I24" s="19"/>
      <c r="J24" s="22"/>
      <c r="K24" s="20"/>
      <c r="L24" s="20"/>
    </row>
    <row r="25" spans="1:12">
      <c r="A25" s="12">
        <v>17</v>
      </c>
      <c r="B25" s="20" t="s">
        <v>175</v>
      </c>
      <c r="C25" s="20"/>
      <c r="D25" s="20"/>
      <c r="E25" s="17" t="s">
        <v>61</v>
      </c>
      <c r="F25" s="17" t="s">
        <v>133</v>
      </c>
      <c r="G25" s="37">
        <v>45911</v>
      </c>
      <c r="H25" s="37">
        <v>45887</v>
      </c>
      <c r="I25" s="19"/>
      <c r="J25" s="22"/>
      <c r="K25" s="20"/>
      <c r="L25" s="20"/>
    </row>
    <row r="26" spans="1:12">
      <c r="A26" s="12">
        <v>18</v>
      </c>
      <c r="B26" s="20" t="s">
        <v>176</v>
      </c>
      <c r="C26" s="21"/>
      <c r="D26" s="17"/>
      <c r="E26" s="16">
        <v>3</v>
      </c>
      <c r="F26" s="17" t="s">
        <v>93</v>
      </c>
      <c r="G26" s="37">
        <v>45911</v>
      </c>
      <c r="H26" s="37">
        <v>45887</v>
      </c>
      <c r="I26" s="19"/>
      <c r="J26" s="22"/>
      <c r="K26" s="20"/>
      <c r="L26" s="20"/>
    </row>
    <row r="27" spans="1:12">
      <c r="A27" s="12">
        <v>19</v>
      </c>
      <c r="B27" s="20" t="s">
        <v>177</v>
      </c>
      <c r="C27" s="20"/>
      <c r="D27" s="20"/>
      <c r="E27" s="17">
        <v>1</v>
      </c>
      <c r="F27" s="17" t="s">
        <v>60</v>
      </c>
      <c r="G27" s="37">
        <v>45911</v>
      </c>
      <c r="H27" s="37">
        <v>45887</v>
      </c>
      <c r="I27" s="19"/>
      <c r="J27" s="20"/>
      <c r="K27" s="20"/>
      <c r="L27" s="20"/>
    </row>
    <row r="28" spans="1:12">
      <c r="A28" s="12">
        <v>20</v>
      </c>
      <c r="B28" s="20" t="s">
        <v>178</v>
      </c>
      <c r="C28" s="20"/>
      <c r="D28" s="20"/>
      <c r="E28" s="17">
        <v>1</v>
      </c>
      <c r="F28" s="17" t="s">
        <v>93</v>
      </c>
      <c r="G28" s="37">
        <v>45911</v>
      </c>
      <c r="H28" s="37">
        <v>45887</v>
      </c>
      <c r="I28" s="19"/>
      <c r="J28" s="22"/>
      <c r="K28" s="20"/>
      <c r="L28" s="20"/>
    </row>
    <row r="29" spans="1:12">
      <c r="A29" s="12">
        <v>21</v>
      </c>
      <c r="B29" s="20" t="s">
        <v>179</v>
      </c>
      <c r="C29" s="20"/>
      <c r="D29" s="20"/>
      <c r="E29" s="17">
        <v>1</v>
      </c>
      <c r="F29" s="17" t="s">
        <v>137</v>
      </c>
      <c r="G29" s="37">
        <v>45911</v>
      </c>
      <c r="H29" s="37">
        <v>45887</v>
      </c>
      <c r="I29" s="19"/>
      <c r="J29" s="22"/>
      <c r="K29" s="20"/>
      <c r="L29" s="20"/>
    </row>
    <row r="30" spans="1:12">
      <c r="A30" s="12">
        <v>22</v>
      </c>
      <c r="B30" s="20" t="s">
        <v>180</v>
      </c>
      <c r="C30" s="20"/>
      <c r="D30" s="20"/>
      <c r="E30" s="42">
        <v>1</v>
      </c>
      <c r="F30" s="20" t="s">
        <v>60</v>
      </c>
      <c r="G30" s="37">
        <v>45911</v>
      </c>
      <c r="H30" s="37">
        <v>45887</v>
      </c>
      <c r="I30" s="19"/>
      <c r="J30" s="20"/>
      <c r="K30" s="20"/>
      <c r="L30" s="20"/>
    </row>
    <row r="31" spans="1:12">
      <c r="A31" s="12">
        <v>23</v>
      </c>
      <c r="B31" s="20" t="s">
        <v>181</v>
      </c>
      <c r="C31" s="20"/>
      <c r="D31" s="20"/>
      <c r="E31" s="17">
        <v>1</v>
      </c>
      <c r="F31" s="17" t="s">
        <v>136</v>
      </c>
      <c r="G31" s="37">
        <v>45911</v>
      </c>
      <c r="H31" s="37">
        <v>45887</v>
      </c>
      <c r="I31" s="19"/>
      <c r="J31" s="20"/>
      <c r="K31" s="20"/>
      <c r="L31" s="20"/>
    </row>
    <row r="32" spans="1:12">
      <c r="A32" s="12">
        <v>24</v>
      </c>
      <c r="B32" s="20" t="s">
        <v>182</v>
      </c>
      <c r="C32" s="20"/>
      <c r="D32" s="20"/>
      <c r="E32" s="17">
        <v>1</v>
      </c>
      <c r="F32" s="17" t="s">
        <v>85</v>
      </c>
      <c r="G32" s="37">
        <v>45911</v>
      </c>
      <c r="H32" s="37">
        <v>45887</v>
      </c>
      <c r="I32" s="19"/>
      <c r="J32" s="22"/>
      <c r="K32" s="20"/>
      <c r="L32" s="20"/>
    </row>
    <row r="33" spans="1:12">
      <c r="A33" s="12">
        <v>25</v>
      </c>
      <c r="B33" s="20" t="s">
        <v>183</v>
      </c>
      <c r="C33" s="21"/>
      <c r="D33" s="17"/>
      <c r="E33" s="16">
        <v>1</v>
      </c>
      <c r="F33" s="17" t="s">
        <v>93</v>
      </c>
      <c r="G33" s="37">
        <v>45911</v>
      </c>
      <c r="H33" s="37">
        <v>45887</v>
      </c>
      <c r="I33" s="19"/>
      <c r="J33" s="20"/>
      <c r="K33" s="20"/>
      <c r="L33" s="20"/>
    </row>
    <row r="34" spans="1:12">
      <c r="A34" s="12">
        <v>26</v>
      </c>
      <c r="B34" s="20" t="s">
        <v>184</v>
      </c>
      <c r="C34" s="20"/>
      <c r="D34" s="20"/>
      <c r="E34" s="17" t="s">
        <v>58</v>
      </c>
      <c r="F34" s="17" t="s">
        <v>59</v>
      </c>
      <c r="G34" s="37">
        <v>45915</v>
      </c>
      <c r="H34" s="37">
        <v>45887</v>
      </c>
      <c r="I34" s="19"/>
      <c r="J34" s="20"/>
      <c r="K34" s="20"/>
      <c r="L34" s="20"/>
    </row>
    <row r="35" spans="1:12">
      <c r="A35" s="12">
        <v>27</v>
      </c>
      <c r="B35" s="20" t="s">
        <v>185</v>
      </c>
      <c r="C35" s="20"/>
      <c r="D35" s="20"/>
      <c r="E35" s="17">
        <v>1</v>
      </c>
      <c r="F35" s="17" t="s">
        <v>62</v>
      </c>
      <c r="G35" s="37">
        <v>45911</v>
      </c>
      <c r="H35" s="37">
        <v>45887</v>
      </c>
      <c r="I35" s="19"/>
      <c r="J35" s="20"/>
      <c r="K35" s="20"/>
      <c r="L35" s="20"/>
    </row>
    <row r="36" spans="1:12">
      <c r="A36" s="12">
        <v>28</v>
      </c>
      <c r="B36" s="20" t="s">
        <v>186</v>
      </c>
      <c r="C36" s="20"/>
      <c r="D36" s="20"/>
      <c r="E36" s="17">
        <v>2</v>
      </c>
      <c r="F36" s="17" t="s">
        <v>62</v>
      </c>
      <c r="G36" s="37">
        <v>45911</v>
      </c>
      <c r="H36" s="37">
        <v>45887</v>
      </c>
      <c r="I36" s="19"/>
      <c r="J36" s="20"/>
      <c r="K36" s="20"/>
      <c r="L36" s="20"/>
    </row>
    <row r="37" spans="1:12">
      <c r="A37" s="12">
        <v>29</v>
      </c>
      <c r="B37" s="20" t="s">
        <v>187</v>
      </c>
      <c r="C37" s="20"/>
      <c r="D37" s="20"/>
      <c r="E37" s="17">
        <v>3</v>
      </c>
      <c r="F37" s="17" t="s">
        <v>93</v>
      </c>
      <c r="G37" s="37">
        <v>45915</v>
      </c>
      <c r="H37" s="37">
        <v>45887</v>
      </c>
      <c r="I37" s="19"/>
      <c r="J37" s="20"/>
      <c r="K37" s="20"/>
      <c r="L37" s="20"/>
    </row>
    <row r="38" spans="1:12">
      <c r="A38" s="12">
        <v>30</v>
      </c>
      <c r="B38" s="20" t="s">
        <v>188</v>
      </c>
      <c r="C38" s="21"/>
      <c r="D38" s="17"/>
      <c r="E38" s="16">
        <v>1</v>
      </c>
      <c r="F38" s="17" t="s">
        <v>93</v>
      </c>
      <c r="G38" s="37">
        <v>45911</v>
      </c>
      <c r="H38" s="37">
        <v>45887</v>
      </c>
      <c r="I38" s="19"/>
      <c r="J38" s="20"/>
      <c r="K38" s="20"/>
      <c r="L38" s="20"/>
    </row>
    <row r="39" spans="1:12">
      <c r="A39" s="12">
        <v>31</v>
      </c>
      <c r="B39" s="20" t="s">
        <v>189</v>
      </c>
      <c r="C39" s="21"/>
      <c r="D39" s="17"/>
      <c r="E39" s="17" t="s">
        <v>140</v>
      </c>
      <c r="F39" s="17" t="s">
        <v>93</v>
      </c>
      <c r="G39" s="37">
        <v>45911</v>
      </c>
      <c r="H39" s="37">
        <v>45887</v>
      </c>
      <c r="I39" s="19"/>
      <c r="J39" s="20"/>
      <c r="K39" s="20"/>
      <c r="L39" s="20"/>
    </row>
    <row r="40" spans="1:12">
      <c r="A40" s="12">
        <v>32</v>
      </c>
      <c r="B40" s="20" t="s">
        <v>190</v>
      </c>
      <c r="C40" s="14"/>
      <c r="D40" s="15"/>
      <c r="E40" s="16">
        <v>1</v>
      </c>
      <c r="F40" s="17" t="s">
        <v>93</v>
      </c>
      <c r="G40" s="37">
        <v>45911</v>
      </c>
      <c r="H40" s="37">
        <v>45887</v>
      </c>
      <c r="I40" s="19"/>
      <c r="J40" s="20"/>
      <c r="K40" s="20"/>
      <c r="L40" s="20"/>
    </row>
    <row r="41" spans="1:12">
      <c r="A41" s="12">
        <v>33</v>
      </c>
      <c r="B41" s="20" t="s">
        <v>191</v>
      </c>
      <c r="C41" s="20"/>
      <c r="D41" s="20"/>
      <c r="E41" s="17" t="s">
        <v>61</v>
      </c>
      <c r="F41" s="17" t="s">
        <v>133</v>
      </c>
      <c r="G41" s="37">
        <v>45911</v>
      </c>
      <c r="H41" s="37">
        <v>45887</v>
      </c>
      <c r="I41" s="19"/>
      <c r="J41" s="20"/>
      <c r="K41" s="20"/>
      <c r="L41" s="20"/>
    </row>
    <row r="42" spans="1:12">
      <c r="A42" s="12">
        <v>34</v>
      </c>
      <c r="B42" s="20" t="s">
        <v>192</v>
      </c>
      <c r="C42" s="20"/>
      <c r="D42" s="20"/>
      <c r="E42" s="17" t="s">
        <v>61</v>
      </c>
      <c r="F42" s="17" t="s">
        <v>133</v>
      </c>
      <c r="G42" s="37">
        <v>45911</v>
      </c>
      <c r="H42" s="37">
        <v>45887</v>
      </c>
      <c r="I42" s="19"/>
      <c r="J42" s="20"/>
      <c r="K42" s="20"/>
      <c r="L42" s="20"/>
    </row>
    <row r="43" spans="1:12">
      <c r="A43" s="12">
        <v>35</v>
      </c>
      <c r="B43" s="20" t="s">
        <v>193</v>
      </c>
      <c r="C43" s="20"/>
      <c r="D43" s="20"/>
      <c r="E43" s="17" t="s">
        <v>71</v>
      </c>
      <c r="F43" s="17" t="s">
        <v>59</v>
      </c>
      <c r="G43" s="37">
        <v>45911</v>
      </c>
      <c r="H43" s="37">
        <v>45887</v>
      </c>
      <c r="I43" s="19"/>
      <c r="J43" s="20"/>
      <c r="K43" s="20"/>
      <c r="L43" s="20"/>
    </row>
  </sheetData>
  <sortState ref="B9:J68">
    <sortCondition ref="B9"/>
  </sortState>
  <mergeCells count="4">
    <mergeCell ref="A1:L1"/>
    <mergeCell ref="A2:L2"/>
    <mergeCell ref="F3:H3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43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48"/>
  <sheetViews>
    <sheetView topLeftCell="A45" zoomScale="98" zoomScaleNormal="45" workbookViewId="0">
      <selection activeCell="B9" sqref="B9:B48"/>
    </sheetView>
  </sheetViews>
  <sheetFormatPr defaultRowHeight="13.8"/>
  <cols>
    <col min="1" max="1" width="4.09765625" customWidth="1"/>
    <col min="2" max="2" width="19" customWidth="1"/>
    <col min="3" max="3" width="12.59765625" customWidth="1"/>
    <col min="4" max="4" width="8.19921875" customWidth="1"/>
    <col min="5" max="5" width="9.19921875" customWidth="1"/>
    <col min="6" max="6" width="15.59765625" customWidth="1"/>
    <col min="7" max="7" width="11.69921875" customWidth="1"/>
    <col min="8" max="8" width="9.09765625" customWidth="1"/>
    <col min="9" max="9" width="7.5" customWidth="1"/>
    <col min="10" max="10" width="5.69921875" customWidth="1"/>
  </cols>
  <sheetData>
    <row r="1" spans="1:12" ht="22.2">
      <c r="A1" s="58">
        <v>45919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2">
      <c r="A2" s="59" t="s">
        <v>0</v>
      </c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20"/>
      <c r="L3" s="20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20"/>
      <c r="L4" s="20"/>
    </row>
    <row r="5" spans="1:12" ht="14.25" customHeight="1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20"/>
      <c r="L5" s="20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20"/>
      <c r="L6" s="20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0"/>
      <c r="L7" s="20"/>
    </row>
    <row r="8" spans="1:12" ht="55.2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36" t="s">
        <v>31</v>
      </c>
      <c r="I8" s="36"/>
      <c r="J8" s="36" t="s">
        <v>31</v>
      </c>
      <c r="K8" s="38" t="s">
        <v>32</v>
      </c>
      <c r="L8" s="20"/>
    </row>
    <row r="9" spans="1:12">
      <c r="A9" s="12">
        <v>1</v>
      </c>
      <c r="B9" s="20" t="s">
        <v>159</v>
      </c>
      <c r="C9" s="20"/>
      <c r="D9" s="20"/>
      <c r="E9" s="17">
        <v>1</v>
      </c>
      <c r="F9" s="17" t="s">
        <v>49</v>
      </c>
      <c r="G9" s="37">
        <v>45912</v>
      </c>
      <c r="H9" s="37">
        <v>45919</v>
      </c>
      <c r="I9" s="19"/>
      <c r="J9" s="20"/>
      <c r="K9" s="20"/>
      <c r="L9" s="20"/>
    </row>
    <row r="10" spans="1:12">
      <c r="A10" s="12">
        <v>2</v>
      </c>
      <c r="B10" s="20" t="s">
        <v>160</v>
      </c>
      <c r="C10" s="20"/>
      <c r="D10" s="20"/>
      <c r="E10" s="17">
        <v>7</v>
      </c>
      <c r="F10" s="17" t="s">
        <v>57</v>
      </c>
      <c r="G10" s="37">
        <v>45912</v>
      </c>
      <c r="H10" s="37">
        <v>45919</v>
      </c>
      <c r="I10" s="19"/>
      <c r="J10" s="22"/>
      <c r="K10" s="20"/>
      <c r="L10" s="20"/>
    </row>
    <row r="11" spans="1:12">
      <c r="A11" s="12">
        <v>3</v>
      </c>
      <c r="B11" s="20" t="s">
        <v>161</v>
      </c>
      <c r="C11" s="20"/>
      <c r="D11" s="20"/>
      <c r="E11" s="17" t="s">
        <v>71</v>
      </c>
      <c r="F11" s="17" t="s">
        <v>59</v>
      </c>
      <c r="G11" s="37">
        <v>45912</v>
      </c>
      <c r="H11" s="37">
        <v>45919</v>
      </c>
      <c r="I11" s="19"/>
      <c r="J11" s="22"/>
      <c r="K11" s="20"/>
      <c r="L11" s="20"/>
    </row>
    <row r="12" spans="1:12">
      <c r="A12" s="12">
        <v>4</v>
      </c>
      <c r="B12" s="20" t="s">
        <v>162</v>
      </c>
      <c r="C12" s="20"/>
      <c r="D12" s="20"/>
      <c r="E12" s="16">
        <v>1</v>
      </c>
      <c r="F12" s="17" t="s">
        <v>57</v>
      </c>
      <c r="G12" s="37">
        <v>45912</v>
      </c>
      <c r="H12" s="37">
        <v>45919</v>
      </c>
      <c r="I12" s="19"/>
      <c r="J12" s="22"/>
      <c r="K12" s="20"/>
      <c r="L12" s="20"/>
    </row>
    <row r="13" spans="1:12">
      <c r="A13" s="12">
        <v>5</v>
      </c>
      <c r="B13" s="20" t="s">
        <v>163</v>
      </c>
      <c r="C13" s="20"/>
      <c r="D13" s="20"/>
      <c r="E13" s="17">
        <v>1</v>
      </c>
      <c r="F13" s="17" t="s">
        <v>57</v>
      </c>
      <c r="G13" s="37">
        <v>45912</v>
      </c>
      <c r="H13" s="37">
        <v>45919</v>
      </c>
      <c r="I13" s="19"/>
      <c r="J13" s="22"/>
      <c r="K13" s="20"/>
      <c r="L13" s="20"/>
    </row>
    <row r="14" spans="1:12">
      <c r="A14" s="12">
        <v>6</v>
      </c>
      <c r="B14" s="20" t="s">
        <v>164</v>
      </c>
      <c r="C14" s="20"/>
      <c r="D14" s="20"/>
      <c r="E14" s="17">
        <v>1</v>
      </c>
      <c r="F14" s="17" t="s">
        <v>85</v>
      </c>
      <c r="G14" s="37">
        <v>45912</v>
      </c>
      <c r="H14" s="37">
        <v>45919</v>
      </c>
      <c r="I14" s="19"/>
      <c r="J14" s="20"/>
      <c r="K14" s="20"/>
      <c r="L14" s="20"/>
    </row>
    <row r="15" spans="1:12">
      <c r="A15" s="12">
        <v>7</v>
      </c>
      <c r="B15" s="20" t="s">
        <v>165</v>
      </c>
      <c r="C15" s="20"/>
      <c r="D15" s="20"/>
      <c r="E15" s="17">
        <v>1</v>
      </c>
      <c r="F15" s="17" t="s">
        <v>138</v>
      </c>
      <c r="G15" s="37">
        <v>45912</v>
      </c>
      <c r="H15" s="37">
        <v>45919</v>
      </c>
      <c r="I15" s="19"/>
      <c r="J15" s="20"/>
      <c r="K15" s="20"/>
      <c r="L15" s="20"/>
    </row>
    <row r="16" spans="1:12">
      <c r="A16" s="12">
        <v>8</v>
      </c>
      <c r="B16" s="20" t="s">
        <v>166</v>
      </c>
      <c r="C16" s="20"/>
      <c r="D16" s="20"/>
      <c r="E16" s="17">
        <v>2</v>
      </c>
      <c r="F16" s="17" t="s">
        <v>138</v>
      </c>
      <c r="G16" s="37">
        <v>45912</v>
      </c>
      <c r="H16" s="37">
        <v>45919</v>
      </c>
      <c r="I16" s="19"/>
      <c r="J16" s="22"/>
      <c r="K16" s="20"/>
      <c r="L16" s="20"/>
    </row>
    <row r="17" spans="1:12">
      <c r="A17" s="12">
        <v>9</v>
      </c>
      <c r="B17" s="20" t="s">
        <v>167</v>
      </c>
      <c r="C17" s="20"/>
      <c r="D17" s="20"/>
      <c r="E17" s="17">
        <v>3</v>
      </c>
      <c r="F17" s="17" t="s">
        <v>57</v>
      </c>
      <c r="G17" s="37">
        <v>45912</v>
      </c>
      <c r="H17" s="37">
        <v>45919</v>
      </c>
      <c r="I17" s="19"/>
      <c r="J17" s="20"/>
      <c r="K17" s="20"/>
      <c r="L17" s="20"/>
    </row>
    <row r="18" spans="1:12">
      <c r="A18" s="12">
        <v>10</v>
      </c>
      <c r="B18" s="20" t="s">
        <v>168</v>
      </c>
      <c r="C18" s="20"/>
      <c r="D18" s="20"/>
      <c r="E18" s="17" t="s">
        <v>140</v>
      </c>
      <c r="F18" s="17" t="s">
        <v>57</v>
      </c>
      <c r="G18" s="37">
        <v>45912</v>
      </c>
      <c r="H18" s="37">
        <v>45919</v>
      </c>
      <c r="I18" s="19"/>
      <c r="J18" s="20"/>
      <c r="K18" s="20"/>
      <c r="L18" s="20"/>
    </row>
    <row r="19" spans="1:12">
      <c r="A19" s="12">
        <v>11</v>
      </c>
      <c r="B19" s="20" t="s">
        <v>169</v>
      </c>
      <c r="C19" s="14"/>
      <c r="D19" s="17"/>
      <c r="E19" s="16">
        <v>7</v>
      </c>
      <c r="F19" s="17" t="s">
        <v>57</v>
      </c>
      <c r="G19" s="37">
        <v>45912</v>
      </c>
      <c r="H19" s="37">
        <v>45919</v>
      </c>
      <c r="I19" s="19"/>
      <c r="J19" s="20"/>
      <c r="K19" s="20"/>
      <c r="L19" s="20"/>
    </row>
    <row r="20" spans="1:12">
      <c r="A20" s="12">
        <v>12</v>
      </c>
      <c r="B20" s="20" t="s">
        <v>170</v>
      </c>
      <c r="C20" s="20"/>
      <c r="D20" s="39"/>
      <c r="E20" s="17">
        <v>1</v>
      </c>
      <c r="F20" s="17" t="s">
        <v>138</v>
      </c>
      <c r="G20" s="37">
        <v>45912</v>
      </c>
      <c r="H20" s="37">
        <v>45919</v>
      </c>
      <c r="I20" s="19"/>
      <c r="J20" s="20"/>
      <c r="K20" s="20"/>
      <c r="L20" s="20"/>
    </row>
    <row r="21" spans="1:12">
      <c r="A21" s="12">
        <v>13</v>
      </c>
      <c r="B21" s="20" t="s">
        <v>171</v>
      </c>
      <c r="C21" s="20"/>
      <c r="D21" s="20"/>
      <c r="E21" s="17">
        <v>1</v>
      </c>
      <c r="F21" s="17" t="s">
        <v>57</v>
      </c>
      <c r="G21" s="37">
        <v>45912</v>
      </c>
      <c r="H21" s="37">
        <v>45919</v>
      </c>
      <c r="I21" s="19"/>
      <c r="J21" s="22"/>
      <c r="K21" s="20"/>
      <c r="L21" s="20"/>
    </row>
    <row r="22" spans="1:12">
      <c r="A22" s="12">
        <v>14</v>
      </c>
      <c r="B22" s="20" t="s">
        <v>172</v>
      </c>
      <c r="C22" s="21"/>
      <c r="D22" s="17"/>
      <c r="E22" s="17" t="s">
        <v>58</v>
      </c>
      <c r="F22" s="17" t="s">
        <v>57</v>
      </c>
      <c r="G22" s="37">
        <v>45912</v>
      </c>
      <c r="H22" s="37">
        <v>45919</v>
      </c>
      <c r="I22" s="19"/>
      <c r="J22" s="20"/>
      <c r="K22" s="20"/>
      <c r="L22" s="20"/>
    </row>
    <row r="23" spans="1:12">
      <c r="A23" s="12">
        <v>15</v>
      </c>
      <c r="B23" s="20" t="s">
        <v>173</v>
      </c>
      <c r="C23" s="20"/>
      <c r="D23" s="20"/>
      <c r="E23" s="17">
        <v>1</v>
      </c>
      <c r="F23" s="17" t="s">
        <v>56</v>
      </c>
      <c r="G23" s="37">
        <v>45912</v>
      </c>
      <c r="H23" s="37">
        <v>45919</v>
      </c>
      <c r="I23" s="19"/>
      <c r="J23" s="20"/>
      <c r="K23" s="20"/>
      <c r="L23" s="20"/>
    </row>
    <row r="24" spans="1:12">
      <c r="A24" s="12">
        <v>16</v>
      </c>
      <c r="B24" s="20" t="s">
        <v>174</v>
      </c>
      <c r="C24" s="20"/>
      <c r="D24" s="20"/>
      <c r="E24" s="17" t="s">
        <v>58</v>
      </c>
      <c r="F24" s="17" t="s">
        <v>59</v>
      </c>
      <c r="G24" s="37">
        <v>45912</v>
      </c>
      <c r="H24" s="37">
        <v>45919</v>
      </c>
      <c r="I24" s="19"/>
      <c r="J24" s="20"/>
      <c r="K24" s="20"/>
      <c r="L24" s="20"/>
    </row>
    <row r="25" spans="1:12">
      <c r="A25" s="12">
        <v>17</v>
      </c>
      <c r="B25" s="20" t="s">
        <v>175</v>
      </c>
      <c r="C25" s="20"/>
      <c r="D25" s="20"/>
      <c r="E25" s="17">
        <v>1</v>
      </c>
      <c r="F25" s="17" t="s">
        <v>57</v>
      </c>
      <c r="G25" s="37">
        <v>45912</v>
      </c>
      <c r="H25" s="37">
        <v>45919</v>
      </c>
      <c r="I25" s="19"/>
      <c r="J25" s="22"/>
      <c r="K25" s="20"/>
      <c r="L25" s="20"/>
    </row>
    <row r="26" spans="1:12">
      <c r="A26" s="12">
        <v>18</v>
      </c>
      <c r="B26" s="20" t="s">
        <v>176</v>
      </c>
      <c r="C26" s="21"/>
      <c r="D26" s="17"/>
      <c r="E26" s="16">
        <v>7</v>
      </c>
      <c r="F26" s="17" t="s">
        <v>57</v>
      </c>
      <c r="G26" s="37">
        <v>45912</v>
      </c>
      <c r="H26" s="37">
        <v>45919</v>
      </c>
      <c r="I26" s="19"/>
      <c r="J26" s="20"/>
      <c r="K26" s="20"/>
      <c r="L26" s="20"/>
    </row>
    <row r="27" spans="1:12">
      <c r="A27" s="12">
        <v>19</v>
      </c>
      <c r="B27" s="20" t="s">
        <v>177</v>
      </c>
      <c r="C27" s="21"/>
      <c r="D27" s="17"/>
      <c r="E27" s="17">
        <v>1</v>
      </c>
      <c r="F27" s="17" t="s">
        <v>57</v>
      </c>
      <c r="G27" s="37">
        <v>45912</v>
      </c>
      <c r="H27" s="37">
        <v>45919</v>
      </c>
      <c r="I27" s="19"/>
      <c r="J27" s="20"/>
      <c r="K27" s="20"/>
      <c r="L27" s="20"/>
    </row>
    <row r="28" spans="1:12">
      <c r="A28" s="12">
        <v>20</v>
      </c>
      <c r="B28" s="20" t="s">
        <v>178</v>
      </c>
      <c r="C28" s="20"/>
      <c r="D28" s="20"/>
      <c r="E28" s="17">
        <v>1</v>
      </c>
      <c r="F28" s="17" t="s">
        <v>56</v>
      </c>
      <c r="G28" s="37">
        <v>45912</v>
      </c>
      <c r="H28" s="37">
        <v>45919</v>
      </c>
      <c r="I28" s="19"/>
      <c r="J28" s="20"/>
      <c r="K28" s="20"/>
      <c r="L28" s="20"/>
    </row>
    <row r="29" spans="1:12">
      <c r="A29" s="12">
        <v>21</v>
      </c>
      <c r="B29" s="20" t="s">
        <v>179</v>
      </c>
      <c r="C29" s="20"/>
      <c r="D29" s="20"/>
      <c r="E29" s="17">
        <v>1</v>
      </c>
      <c r="F29" s="17" t="s">
        <v>138</v>
      </c>
      <c r="G29" s="37">
        <v>45912</v>
      </c>
      <c r="H29" s="37">
        <v>45919</v>
      </c>
      <c r="I29" s="19"/>
      <c r="J29" s="20"/>
      <c r="K29" s="20"/>
      <c r="L29" s="20"/>
    </row>
    <row r="30" spans="1:12">
      <c r="A30" s="12">
        <v>22</v>
      </c>
      <c r="B30" s="20" t="s">
        <v>180</v>
      </c>
      <c r="C30" s="20"/>
      <c r="D30" s="20"/>
      <c r="E30" s="17">
        <v>1</v>
      </c>
      <c r="F30" s="17" t="s">
        <v>57</v>
      </c>
      <c r="G30" s="37">
        <v>45912</v>
      </c>
      <c r="H30" s="37">
        <v>45919</v>
      </c>
      <c r="I30" s="19"/>
      <c r="J30" s="20"/>
      <c r="K30" s="20"/>
      <c r="L30" s="20"/>
    </row>
    <row r="31" spans="1:12">
      <c r="A31" s="12">
        <v>23</v>
      </c>
      <c r="B31" s="20" t="s">
        <v>181</v>
      </c>
      <c r="C31" s="20"/>
      <c r="D31" s="20"/>
      <c r="E31" s="17">
        <v>7</v>
      </c>
      <c r="F31" s="17" t="s">
        <v>57</v>
      </c>
      <c r="G31" s="37">
        <v>45912</v>
      </c>
      <c r="H31" s="37">
        <v>45919</v>
      </c>
      <c r="I31" s="19"/>
      <c r="J31" s="20"/>
      <c r="K31" s="20"/>
      <c r="L31" s="20"/>
    </row>
    <row r="32" spans="1:12">
      <c r="A32" s="12">
        <v>24</v>
      </c>
      <c r="B32" s="20" t="s">
        <v>182</v>
      </c>
      <c r="C32" s="20"/>
      <c r="D32" s="20"/>
      <c r="E32" s="17" t="s">
        <v>58</v>
      </c>
      <c r="F32" s="17" t="s">
        <v>59</v>
      </c>
      <c r="G32" s="37">
        <v>45912</v>
      </c>
      <c r="H32" s="37">
        <v>45919</v>
      </c>
      <c r="I32" s="19"/>
      <c r="J32" s="22"/>
      <c r="K32" s="20"/>
      <c r="L32" s="20"/>
    </row>
    <row r="33" spans="1:12">
      <c r="A33" s="12">
        <v>25</v>
      </c>
      <c r="B33" s="20" t="s">
        <v>183</v>
      </c>
      <c r="C33" s="20"/>
      <c r="D33" s="20"/>
      <c r="E33" s="17">
        <v>1</v>
      </c>
      <c r="F33" s="17" t="s">
        <v>57</v>
      </c>
      <c r="G33" s="37">
        <v>45912</v>
      </c>
      <c r="H33" s="37">
        <v>45919</v>
      </c>
      <c r="I33" s="19"/>
      <c r="J33" s="22"/>
      <c r="K33" s="20"/>
      <c r="L33" s="20"/>
    </row>
    <row r="34" spans="1:12">
      <c r="A34" s="12">
        <v>26</v>
      </c>
      <c r="B34" s="20" t="s">
        <v>184</v>
      </c>
      <c r="C34" s="20"/>
      <c r="D34" s="20"/>
      <c r="E34" s="17">
        <v>3</v>
      </c>
      <c r="F34" s="17" t="s">
        <v>57</v>
      </c>
      <c r="G34" s="37">
        <v>45912</v>
      </c>
      <c r="H34" s="37">
        <v>45919</v>
      </c>
      <c r="I34" s="19"/>
      <c r="J34" s="22"/>
      <c r="K34" s="20"/>
      <c r="L34" s="20"/>
    </row>
    <row r="35" spans="1:12">
      <c r="A35" s="12">
        <v>27</v>
      </c>
      <c r="B35" s="20" t="s">
        <v>185</v>
      </c>
      <c r="C35" s="20"/>
      <c r="D35" s="20"/>
      <c r="E35" s="17" t="s">
        <v>71</v>
      </c>
      <c r="F35" s="17" t="s">
        <v>138</v>
      </c>
      <c r="G35" s="37">
        <v>45912</v>
      </c>
      <c r="H35" s="37">
        <v>45919</v>
      </c>
      <c r="I35" s="19"/>
      <c r="J35" s="22"/>
      <c r="K35" s="20"/>
      <c r="L35" s="20"/>
    </row>
    <row r="36" spans="1:12">
      <c r="A36" s="12">
        <v>28</v>
      </c>
      <c r="B36" s="20" t="s">
        <v>186</v>
      </c>
      <c r="C36" s="21"/>
      <c r="D36" s="17"/>
      <c r="E36" s="17">
        <v>1</v>
      </c>
      <c r="F36" s="17" t="s">
        <v>57</v>
      </c>
      <c r="G36" s="37">
        <v>45912</v>
      </c>
      <c r="H36" s="37">
        <v>45919</v>
      </c>
      <c r="I36" s="19"/>
      <c r="J36" s="22"/>
      <c r="K36" s="20"/>
      <c r="L36" s="20"/>
    </row>
    <row r="37" spans="1:12">
      <c r="A37" s="12">
        <v>29</v>
      </c>
      <c r="B37" s="20" t="s">
        <v>187</v>
      </c>
      <c r="C37" s="20"/>
      <c r="D37" s="39"/>
      <c r="E37" s="17" t="s">
        <v>139</v>
      </c>
      <c r="F37" s="17" t="s">
        <v>57</v>
      </c>
      <c r="G37" s="37">
        <v>45912</v>
      </c>
      <c r="H37" s="37">
        <v>45919</v>
      </c>
      <c r="I37" s="19"/>
      <c r="J37" s="22"/>
      <c r="K37" s="20"/>
      <c r="L37" s="20"/>
    </row>
    <row r="38" spans="1:12">
      <c r="A38" s="12">
        <v>30</v>
      </c>
      <c r="B38" s="20" t="s">
        <v>188</v>
      </c>
      <c r="C38" s="20"/>
      <c r="D38" s="20"/>
      <c r="E38" s="17">
        <v>1</v>
      </c>
      <c r="F38" s="17" t="s">
        <v>57</v>
      </c>
      <c r="G38" s="37">
        <v>45912</v>
      </c>
      <c r="H38" s="37">
        <v>45919</v>
      </c>
      <c r="I38" s="19"/>
      <c r="J38" s="20"/>
      <c r="K38" s="20"/>
      <c r="L38" s="20"/>
    </row>
    <row r="39" spans="1:12">
      <c r="A39" s="12">
        <v>31</v>
      </c>
      <c r="B39" s="20" t="s">
        <v>189</v>
      </c>
      <c r="C39" s="21"/>
      <c r="D39" s="17"/>
      <c r="E39" s="16">
        <v>1</v>
      </c>
      <c r="F39" s="17" t="s">
        <v>56</v>
      </c>
      <c r="G39" s="37">
        <v>45912</v>
      </c>
      <c r="H39" s="37">
        <v>45919</v>
      </c>
      <c r="I39" s="19"/>
      <c r="J39" s="20"/>
      <c r="K39" s="20"/>
      <c r="L39" s="20"/>
    </row>
    <row r="40" spans="1:12">
      <c r="A40" s="12">
        <v>32</v>
      </c>
      <c r="B40" s="20" t="s">
        <v>190</v>
      </c>
      <c r="C40" s="21"/>
      <c r="D40" s="17"/>
      <c r="E40" s="16">
        <v>1</v>
      </c>
      <c r="F40" s="17" t="s">
        <v>49</v>
      </c>
      <c r="G40" s="37">
        <v>45912</v>
      </c>
      <c r="H40" s="37">
        <v>45919</v>
      </c>
      <c r="I40" s="19"/>
      <c r="J40" s="20"/>
      <c r="K40" s="20"/>
      <c r="L40" s="20"/>
    </row>
    <row r="41" spans="1:12">
      <c r="A41" s="12">
        <v>33</v>
      </c>
      <c r="B41" s="20" t="s">
        <v>191</v>
      </c>
      <c r="C41" s="20"/>
      <c r="D41" s="20"/>
      <c r="E41" s="17">
        <v>1</v>
      </c>
      <c r="F41" s="17"/>
      <c r="G41" s="37">
        <v>45912</v>
      </c>
      <c r="H41" s="37">
        <v>45919</v>
      </c>
      <c r="I41" s="19"/>
      <c r="J41" s="20"/>
      <c r="K41" s="20"/>
      <c r="L41" s="20"/>
    </row>
    <row r="42" spans="1:12">
      <c r="A42" s="12">
        <v>34</v>
      </c>
      <c r="B42" s="20" t="s">
        <v>192</v>
      </c>
      <c r="C42" s="20"/>
      <c r="D42" s="20"/>
      <c r="E42" s="17" t="s">
        <v>58</v>
      </c>
      <c r="F42" s="17"/>
      <c r="G42" s="37">
        <v>45912</v>
      </c>
      <c r="H42" s="37">
        <v>45919</v>
      </c>
      <c r="I42" s="19"/>
      <c r="J42" s="20"/>
      <c r="K42" s="20"/>
      <c r="L42" s="20"/>
    </row>
    <row r="43" spans="1:12">
      <c r="A43" s="12">
        <v>35</v>
      </c>
      <c r="B43" s="20" t="s">
        <v>193</v>
      </c>
      <c r="C43" s="20"/>
      <c r="D43" s="20"/>
      <c r="E43" s="17">
        <v>1</v>
      </c>
      <c r="F43" s="17" t="s">
        <v>49</v>
      </c>
      <c r="G43" s="37">
        <v>45912</v>
      </c>
      <c r="H43" s="37">
        <v>45919</v>
      </c>
      <c r="I43" s="19"/>
      <c r="J43" s="20"/>
      <c r="K43" s="20"/>
      <c r="L43" s="20"/>
    </row>
    <row r="44" spans="1:12">
      <c r="A44" s="12">
        <v>36</v>
      </c>
      <c r="B44" s="20" t="s">
        <v>194</v>
      </c>
      <c r="C44" s="20"/>
      <c r="D44" s="20"/>
      <c r="E44" s="17">
        <v>1</v>
      </c>
      <c r="F44" s="17" t="s">
        <v>56</v>
      </c>
      <c r="G44" s="37">
        <v>45912</v>
      </c>
      <c r="H44" s="37">
        <v>45919</v>
      </c>
      <c r="I44" s="19"/>
      <c r="J44" s="20"/>
      <c r="K44" s="20"/>
      <c r="L44" s="20"/>
    </row>
    <row r="45" spans="1:12">
      <c r="A45" s="12">
        <v>37</v>
      </c>
      <c r="B45" s="20" t="s">
        <v>195</v>
      </c>
      <c r="C45" s="21"/>
      <c r="D45" s="17"/>
      <c r="E45" s="17" t="s">
        <v>58</v>
      </c>
      <c r="F45" s="17" t="s">
        <v>59</v>
      </c>
      <c r="G45" s="37">
        <v>45912</v>
      </c>
      <c r="H45" s="37">
        <v>45919</v>
      </c>
      <c r="I45" s="19"/>
      <c r="J45" s="20"/>
      <c r="K45" s="20"/>
      <c r="L45" s="20"/>
    </row>
    <row r="46" spans="1:12">
      <c r="A46" s="12">
        <v>38</v>
      </c>
      <c r="B46" s="20" t="s">
        <v>196</v>
      </c>
      <c r="C46" s="20"/>
      <c r="D46" s="39"/>
      <c r="E46" s="17">
        <v>1</v>
      </c>
      <c r="F46" s="17" t="s">
        <v>56</v>
      </c>
      <c r="G46" s="37">
        <v>45912</v>
      </c>
      <c r="H46" s="37">
        <v>45919</v>
      </c>
      <c r="I46" s="19"/>
      <c r="J46" s="20"/>
      <c r="K46" s="20"/>
      <c r="L46" s="20"/>
    </row>
    <row r="47" spans="1:12">
      <c r="A47" s="12">
        <v>39</v>
      </c>
      <c r="B47" s="20" t="s">
        <v>197</v>
      </c>
      <c r="C47" s="21"/>
      <c r="D47" s="15"/>
      <c r="E47" s="17" t="s">
        <v>58</v>
      </c>
      <c r="F47" s="17" t="s">
        <v>59</v>
      </c>
      <c r="G47" s="37">
        <v>45912</v>
      </c>
      <c r="H47" s="37">
        <v>45919</v>
      </c>
      <c r="I47" s="19"/>
      <c r="J47" s="22"/>
      <c r="K47" s="20"/>
      <c r="L47" s="20"/>
    </row>
    <row r="48" spans="1:12">
      <c r="A48" s="12">
        <v>40</v>
      </c>
      <c r="B48" s="20" t="s">
        <v>198</v>
      </c>
      <c r="C48" s="20"/>
      <c r="D48" s="20"/>
      <c r="E48" s="16">
        <v>1</v>
      </c>
      <c r="F48" s="17" t="s">
        <v>57</v>
      </c>
      <c r="G48" s="37">
        <v>45912</v>
      </c>
      <c r="H48" s="37">
        <v>45919</v>
      </c>
      <c r="I48" s="19"/>
      <c r="J48" s="20"/>
      <c r="K48" s="20"/>
      <c r="L48" s="20"/>
    </row>
  </sheetData>
  <sortState ref="B9:L56">
    <sortCondition ref="B9"/>
  </sortState>
  <mergeCells count="4">
    <mergeCell ref="A1:L1"/>
    <mergeCell ref="A2:L2"/>
    <mergeCell ref="F3:H3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48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0000"/>
  </sheetPr>
  <dimension ref="A1:L258"/>
  <sheetViews>
    <sheetView zoomScale="98" zoomScaleNormal="45" workbookViewId="0">
      <selection activeCell="L23" sqref="L23"/>
    </sheetView>
  </sheetViews>
  <sheetFormatPr defaultRowHeight="13.8"/>
  <cols>
    <col min="1" max="1" width="4.09765625" customWidth="1"/>
    <col min="2" max="2" width="19" customWidth="1"/>
    <col min="3" max="3" width="12.59765625" customWidth="1"/>
    <col min="4" max="4" width="8.19921875" customWidth="1"/>
    <col min="5" max="5" width="9.19921875" customWidth="1"/>
    <col min="6" max="6" width="15.59765625" customWidth="1"/>
    <col min="7" max="7" width="11.69921875" customWidth="1"/>
    <col min="8" max="8" width="9.09765625" customWidth="1"/>
    <col min="9" max="9" width="7.5" customWidth="1"/>
    <col min="10" max="10" width="5.69921875" customWidth="1"/>
  </cols>
  <sheetData>
    <row r="1" spans="1:12" ht="22.2">
      <c r="A1" s="58">
        <v>45920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2">
      <c r="A2" s="59" t="s">
        <v>0</v>
      </c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20"/>
      <c r="L3" s="20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20"/>
      <c r="L4" s="20"/>
    </row>
    <row r="5" spans="1:12" ht="14.25" customHeight="1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20"/>
      <c r="L5" s="20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20"/>
      <c r="L6" s="20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0"/>
      <c r="L7" s="20"/>
    </row>
    <row r="8" spans="1:12" ht="96.6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36" t="s">
        <v>31</v>
      </c>
      <c r="I8" s="36" t="s">
        <v>55</v>
      </c>
      <c r="J8" s="36" t="s">
        <v>31</v>
      </c>
      <c r="K8" s="38" t="s">
        <v>32</v>
      </c>
      <c r="L8" s="20"/>
    </row>
    <row r="9" spans="1:12">
      <c r="A9" s="12">
        <v>1</v>
      </c>
      <c r="B9" s="20"/>
      <c r="C9" s="20"/>
      <c r="D9" s="20"/>
      <c r="E9" s="17"/>
      <c r="F9" s="17"/>
      <c r="G9" s="37"/>
      <c r="H9" s="37"/>
      <c r="I9" s="19"/>
      <c r="J9" s="20"/>
      <c r="K9" s="20"/>
      <c r="L9" s="20"/>
    </row>
    <row r="10" spans="1:12">
      <c r="A10" s="12">
        <v>2</v>
      </c>
      <c r="B10" s="20"/>
      <c r="C10" s="20"/>
      <c r="D10" s="20"/>
      <c r="E10" s="17"/>
      <c r="F10" s="17"/>
      <c r="G10" s="37"/>
      <c r="H10" s="37"/>
      <c r="I10" s="19"/>
      <c r="J10" s="22"/>
      <c r="K10" s="20"/>
      <c r="L10" s="20"/>
    </row>
    <row r="11" spans="1:12">
      <c r="A11" s="12">
        <v>3</v>
      </c>
      <c r="B11" s="20"/>
      <c r="C11" s="20"/>
      <c r="D11" s="20"/>
      <c r="E11" s="17"/>
      <c r="F11" s="17"/>
      <c r="G11" s="37"/>
      <c r="H11" s="37"/>
      <c r="I11" s="19"/>
      <c r="J11" s="20"/>
      <c r="K11" s="20"/>
      <c r="L11" s="20"/>
    </row>
    <row r="12" spans="1:12">
      <c r="A12" s="12">
        <v>4</v>
      </c>
      <c r="B12" s="20"/>
      <c r="C12" s="20"/>
      <c r="D12" s="20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0"/>
      <c r="D13" s="20"/>
      <c r="E13" s="17"/>
      <c r="F13" s="17"/>
      <c r="G13" s="37"/>
      <c r="H13" s="37"/>
      <c r="I13" s="19"/>
      <c r="J13" s="22"/>
      <c r="K13" s="20"/>
      <c r="L13" s="20"/>
    </row>
    <row r="14" spans="1:12">
      <c r="A14" s="12">
        <v>6</v>
      </c>
      <c r="B14" s="20"/>
      <c r="C14" s="20"/>
      <c r="D14" s="20"/>
      <c r="E14" s="17"/>
      <c r="F14" s="17"/>
      <c r="G14" s="37"/>
      <c r="H14" s="37"/>
      <c r="I14" s="19"/>
      <c r="J14" s="22"/>
      <c r="K14" s="20"/>
      <c r="L14" s="20"/>
    </row>
    <row r="15" spans="1:12">
      <c r="A15" s="12">
        <v>7</v>
      </c>
      <c r="B15" s="20"/>
      <c r="C15" s="20"/>
      <c r="D15" s="20"/>
      <c r="E15" s="16"/>
      <c r="F15" s="17"/>
      <c r="G15" s="37"/>
      <c r="H15" s="37"/>
      <c r="I15" s="19"/>
      <c r="J15" s="20"/>
      <c r="K15" s="20"/>
      <c r="L15" s="20"/>
    </row>
    <row r="16" spans="1:12">
      <c r="A16" s="12">
        <v>8</v>
      </c>
      <c r="B16" s="20"/>
      <c r="C16" s="20"/>
      <c r="D16" s="20"/>
      <c r="E16" s="17"/>
      <c r="F16" s="17"/>
      <c r="G16" s="37"/>
      <c r="H16" s="37"/>
      <c r="I16" s="19"/>
      <c r="J16" s="22"/>
      <c r="K16" s="20"/>
      <c r="L16" s="20"/>
    </row>
    <row r="17" spans="1:12">
      <c r="A17" s="12">
        <v>9</v>
      </c>
      <c r="B17" s="20"/>
      <c r="C17" s="20"/>
      <c r="D17" s="20"/>
      <c r="E17" s="17"/>
      <c r="F17" s="17"/>
      <c r="G17" s="37"/>
      <c r="H17" s="37"/>
      <c r="I17" s="19"/>
      <c r="J17" s="22"/>
      <c r="K17" s="20"/>
      <c r="L17" s="20"/>
    </row>
    <row r="18" spans="1:12">
      <c r="A18" s="12">
        <v>10</v>
      </c>
      <c r="B18" s="20"/>
      <c r="C18" s="20"/>
      <c r="D18" s="20"/>
      <c r="E18" s="17"/>
      <c r="F18" s="17"/>
      <c r="G18" s="37"/>
      <c r="H18" s="37"/>
      <c r="I18" s="19"/>
      <c r="J18" s="20"/>
      <c r="K18" s="20"/>
      <c r="L18" s="20"/>
    </row>
    <row r="19" spans="1:12">
      <c r="A19" s="12">
        <v>11</v>
      </c>
      <c r="B19" s="20"/>
      <c r="C19" s="20"/>
      <c r="D19" s="20"/>
      <c r="E19" s="17"/>
      <c r="F19" s="17"/>
      <c r="G19" s="37"/>
      <c r="H19" s="37"/>
      <c r="I19" s="19"/>
      <c r="J19" s="22"/>
      <c r="K19" s="20"/>
      <c r="L19" s="20"/>
    </row>
    <row r="20" spans="1:12">
      <c r="A20" s="12">
        <v>12</v>
      </c>
      <c r="B20" s="20"/>
      <c r="C20" s="20"/>
      <c r="D20" s="20"/>
      <c r="E20" s="17"/>
      <c r="F20" s="17"/>
      <c r="G20" s="37"/>
      <c r="H20" s="37"/>
      <c r="I20" s="19"/>
      <c r="J20" s="22"/>
      <c r="K20" s="20"/>
      <c r="L20" s="20"/>
    </row>
    <row r="21" spans="1:12">
      <c r="A21" s="12">
        <v>13</v>
      </c>
      <c r="B21" s="20"/>
      <c r="C21" s="20"/>
      <c r="D21" s="20"/>
      <c r="E21" s="17"/>
      <c r="F21" s="17"/>
      <c r="G21" s="37"/>
      <c r="H21" s="37"/>
      <c r="I21" s="19"/>
      <c r="J21" s="22"/>
      <c r="K21" s="20"/>
      <c r="L21" s="20"/>
    </row>
    <row r="22" spans="1:12">
      <c r="A22" s="12">
        <v>14</v>
      </c>
      <c r="B22" s="20"/>
      <c r="C22" s="20"/>
      <c r="D22" s="20"/>
      <c r="E22" s="17"/>
      <c r="F22" s="17"/>
      <c r="G22" s="37"/>
      <c r="H22" s="37"/>
      <c r="I22" s="19"/>
      <c r="J22" s="20"/>
      <c r="K22" s="20"/>
      <c r="L22" s="20"/>
    </row>
    <row r="23" spans="1:12">
      <c r="A23" s="12">
        <v>15</v>
      </c>
      <c r="B23" s="20"/>
      <c r="C23" s="20"/>
      <c r="D23" s="20"/>
      <c r="E23" s="17"/>
      <c r="F23" s="17"/>
      <c r="G23" s="37"/>
      <c r="H23" s="37"/>
      <c r="I23" s="19"/>
      <c r="J23" s="20"/>
      <c r="K23" s="20"/>
      <c r="L23" s="20"/>
    </row>
    <row r="24" spans="1:12">
      <c r="A24" s="12">
        <v>16</v>
      </c>
      <c r="B24" s="20"/>
      <c r="C24" s="20"/>
      <c r="D24" s="20"/>
      <c r="E24" s="17"/>
      <c r="F24" s="17"/>
      <c r="G24" s="37"/>
      <c r="H24" s="37"/>
      <c r="I24" s="19"/>
      <c r="J24" s="22"/>
      <c r="K24" s="20"/>
      <c r="L24" s="20"/>
    </row>
    <row r="25" spans="1:12">
      <c r="A25" s="12">
        <v>17</v>
      </c>
      <c r="B25" s="20"/>
      <c r="C25" s="20"/>
      <c r="D25" s="20"/>
      <c r="E25" s="17"/>
      <c r="F25" s="17"/>
      <c r="G25" s="37"/>
      <c r="H25" s="37"/>
      <c r="I25" s="19"/>
      <c r="J25" s="22"/>
      <c r="K25" s="20"/>
      <c r="L25" s="20"/>
    </row>
    <row r="26" spans="1:12">
      <c r="A26" s="12">
        <v>18</v>
      </c>
      <c r="B26" s="20"/>
      <c r="C26" s="20"/>
      <c r="D26" s="20"/>
      <c r="E26" s="17"/>
      <c r="F26" s="17"/>
      <c r="G26" s="37"/>
      <c r="H26" s="37"/>
      <c r="I26" s="19"/>
      <c r="J26" s="22"/>
      <c r="K26" s="20"/>
      <c r="L26" s="20"/>
    </row>
    <row r="27" spans="1:12">
      <c r="A27" s="12">
        <v>19</v>
      </c>
      <c r="B27" s="20"/>
      <c r="C27" s="20"/>
      <c r="D27" s="20"/>
      <c r="E27" s="17"/>
      <c r="F27" s="17"/>
      <c r="G27" s="37"/>
      <c r="H27" s="37"/>
      <c r="I27" s="20"/>
      <c r="J27" s="20"/>
      <c r="K27" s="20"/>
      <c r="L27" s="20"/>
    </row>
    <row r="28" spans="1:12">
      <c r="A28" s="12">
        <v>20</v>
      </c>
      <c r="B28" s="20"/>
      <c r="C28" s="20"/>
      <c r="D28" s="20"/>
      <c r="E28" s="17"/>
      <c r="F28" s="17"/>
      <c r="G28" s="37"/>
      <c r="H28" s="37"/>
      <c r="I28" s="19"/>
      <c r="J28" s="22"/>
      <c r="K28" s="20"/>
      <c r="L28" s="20"/>
    </row>
    <row r="29" spans="1:12">
      <c r="A29" s="12">
        <v>21</v>
      </c>
      <c r="B29" s="20"/>
      <c r="C29" s="20"/>
      <c r="D29" s="20"/>
      <c r="E29" s="17"/>
      <c r="F29" s="17"/>
      <c r="G29" s="37"/>
      <c r="H29" s="37"/>
      <c r="I29" s="20"/>
      <c r="J29" s="22"/>
      <c r="K29" s="20"/>
      <c r="L29" s="20"/>
    </row>
    <row r="30" spans="1:12">
      <c r="A30" s="12">
        <v>22</v>
      </c>
      <c r="B30" s="20"/>
      <c r="C30" s="20"/>
      <c r="D30" s="20"/>
      <c r="E30" s="17"/>
      <c r="F30" s="17"/>
      <c r="G30" s="37"/>
      <c r="H30" s="37"/>
      <c r="I30" s="19"/>
      <c r="J30" s="20"/>
      <c r="K30" s="20"/>
      <c r="L30" s="20"/>
    </row>
    <row r="31" spans="1:12">
      <c r="A31" s="12">
        <v>23</v>
      </c>
      <c r="B31" s="12"/>
      <c r="C31" s="21"/>
      <c r="D31" s="17"/>
      <c r="E31" s="16"/>
      <c r="F31" s="17"/>
      <c r="G31" s="18"/>
      <c r="H31" s="18"/>
      <c r="I31" s="20"/>
      <c r="J31" s="22"/>
      <c r="K31" s="20"/>
      <c r="L31" s="20"/>
    </row>
    <row r="32" spans="1:12">
      <c r="A32" s="12">
        <v>24</v>
      </c>
      <c r="B32" s="12"/>
      <c r="C32" s="21"/>
      <c r="D32" s="17"/>
      <c r="E32" s="16"/>
      <c r="F32" s="17"/>
      <c r="G32" s="18"/>
      <c r="H32" s="18"/>
      <c r="I32" s="20"/>
      <c r="J32" s="20"/>
      <c r="K32" s="20"/>
      <c r="L32" s="20"/>
    </row>
    <row r="33" spans="1:12">
      <c r="A33" s="12">
        <v>25</v>
      </c>
      <c r="B33" s="12"/>
      <c r="C33" s="21"/>
      <c r="D33" s="17"/>
      <c r="E33" s="16"/>
      <c r="F33" s="17"/>
      <c r="G33" s="18"/>
      <c r="H33" s="18"/>
      <c r="I33" s="20"/>
      <c r="J33" s="20"/>
      <c r="K33" s="20"/>
      <c r="L33" s="20"/>
    </row>
    <row r="34" spans="1:12">
      <c r="A34" s="12">
        <v>26</v>
      </c>
      <c r="B34" s="12"/>
      <c r="C34" s="14"/>
      <c r="D34" s="15"/>
      <c r="E34" s="16"/>
      <c r="F34" s="17"/>
      <c r="G34" s="18"/>
      <c r="H34" s="18"/>
      <c r="I34" s="20"/>
      <c r="J34" s="20"/>
      <c r="K34" s="20"/>
      <c r="L34" s="20"/>
    </row>
    <row r="35" spans="1:12">
      <c r="A35" s="12">
        <v>27</v>
      </c>
      <c r="B35" s="12"/>
      <c r="C35" s="14"/>
      <c r="D35" s="17"/>
      <c r="E35" s="16"/>
      <c r="F35" s="17"/>
      <c r="G35" s="18"/>
      <c r="H35" s="18"/>
      <c r="I35" s="20"/>
      <c r="J35" s="20"/>
      <c r="K35" s="20"/>
      <c r="L35" s="20"/>
    </row>
    <row r="36" spans="1:12">
      <c r="A36" s="12">
        <v>28</v>
      </c>
      <c r="B36" s="12"/>
      <c r="C36" s="21"/>
      <c r="D36" s="17"/>
      <c r="E36" s="16"/>
      <c r="F36" s="17"/>
      <c r="G36" s="18"/>
      <c r="H36" s="18"/>
      <c r="I36" s="20"/>
      <c r="J36" s="20"/>
      <c r="K36" s="20"/>
      <c r="L36" s="20"/>
    </row>
    <row r="37" spans="1:12">
      <c r="A37" s="12">
        <v>29</v>
      </c>
      <c r="B37" s="12"/>
      <c r="C37" s="21"/>
      <c r="D37" s="17"/>
      <c r="E37" s="16"/>
      <c r="F37" s="17"/>
      <c r="G37" s="18"/>
      <c r="H37" s="18"/>
      <c r="I37" s="20"/>
      <c r="J37" s="20"/>
      <c r="K37" s="20"/>
      <c r="L37" s="20"/>
    </row>
    <row r="38" spans="1:12">
      <c r="A38" s="12">
        <v>30</v>
      </c>
      <c r="B38" s="12"/>
      <c r="C38" s="21"/>
      <c r="D38" s="17"/>
      <c r="E38" s="17"/>
      <c r="F38" s="16"/>
      <c r="G38" s="18"/>
      <c r="H38" s="18"/>
      <c r="I38" s="20"/>
      <c r="J38" s="20"/>
      <c r="K38" s="20"/>
      <c r="L38" s="20"/>
    </row>
    <row r="39" spans="1:12">
      <c r="A39" s="12">
        <v>31</v>
      </c>
      <c r="B39" s="12"/>
      <c r="C39" s="21"/>
      <c r="D39" s="17"/>
      <c r="E39" s="16"/>
      <c r="F39" s="17"/>
      <c r="G39" s="18"/>
      <c r="H39" s="18"/>
      <c r="I39" s="20"/>
      <c r="J39" s="20"/>
      <c r="K39" s="20"/>
      <c r="L39" s="20"/>
    </row>
    <row r="40" spans="1:12">
      <c r="A40" s="12">
        <v>32</v>
      </c>
      <c r="B40" s="20"/>
      <c r="C40" s="20"/>
      <c r="D40" s="20"/>
      <c r="E40" s="17"/>
      <c r="F40" s="17"/>
      <c r="G40" s="17"/>
      <c r="H40" s="17"/>
      <c r="I40" s="20"/>
      <c r="J40" s="20"/>
      <c r="K40" s="20"/>
      <c r="L40" s="20"/>
    </row>
    <row r="41" spans="1:12">
      <c r="A41" s="12">
        <v>33</v>
      </c>
      <c r="B41" s="20"/>
      <c r="C41" s="20"/>
      <c r="D41" s="20"/>
      <c r="E41" s="17"/>
      <c r="F41" s="17"/>
      <c r="G41" s="17"/>
      <c r="H41" s="17"/>
      <c r="I41" s="20"/>
      <c r="J41" s="20"/>
      <c r="K41" s="20"/>
      <c r="L41" s="20"/>
    </row>
    <row r="42" spans="1:12">
      <c r="A42" s="12">
        <v>34</v>
      </c>
      <c r="B42" s="20"/>
      <c r="C42" s="20"/>
      <c r="D42" s="20"/>
      <c r="E42" s="17"/>
      <c r="F42" s="17"/>
      <c r="G42" s="17"/>
      <c r="H42" s="17"/>
      <c r="I42" s="20"/>
      <c r="J42" s="20"/>
      <c r="K42" s="20"/>
      <c r="L42" s="20"/>
    </row>
    <row r="43" spans="1:12">
      <c r="A43" s="12">
        <v>35</v>
      </c>
      <c r="B43" s="20"/>
      <c r="C43" s="20"/>
      <c r="D43" s="20"/>
      <c r="E43" s="17"/>
      <c r="F43" s="17"/>
      <c r="G43" s="17"/>
      <c r="H43" s="17"/>
      <c r="I43" s="20"/>
      <c r="J43" s="20"/>
      <c r="K43" s="20"/>
      <c r="L43" s="20"/>
    </row>
    <row r="44" spans="1:12">
      <c r="A44" s="12">
        <v>36</v>
      </c>
      <c r="B44" s="20"/>
      <c r="C44" s="20"/>
      <c r="D44" s="20"/>
      <c r="E44" s="17"/>
      <c r="F44" s="17"/>
      <c r="G44" s="17"/>
      <c r="H44" s="17"/>
      <c r="I44" s="20"/>
      <c r="J44" s="20"/>
      <c r="K44" s="20"/>
      <c r="L44" s="20"/>
    </row>
    <row r="45" spans="1:12">
      <c r="A45" s="12">
        <v>37</v>
      </c>
      <c r="B45" s="20"/>
      <c r="C45" s="20"/>
      <c r="D45" s="20"/>
      <c r="E45" s="17"/>
      <c r="F45" s="17"/>
      <c r="G45" s="17"/>
      <c r="H45" s="17"/>
      <c r="I45" s="20"/>
      <c r="J45" s="20"/>
      <c r="K45" s="20"/>
      <c r="L45" s="20"/>
    </row>
    <row r="46" spans="1:12">
      <c r="A46" s="12">
        <v>38</v>
      </c>
      <c r="B46" s="20"/>
      <c r="C46" s="20"/>
      <c r="D46" s="20"/>
      <c r="E46" s="17"/>
      <c r="F46" s="17"/>
      <c r="G46" s="17"/>
      <c r="H46" s="17"/>
      <c r="I46" s="20"/>
      <c r="J46" s="20"/>
      <c r="K46" s="20"/>
      <c r="L46" s="20"/>
    </row>
    <row r="47" spans="1:12">
      <c r="A47" s="12">
        <v>39</v>
      </c>
      <c r="B47" s="20"/>
      <c r="C47" s="20"/>
      <c r="D47" s="20"/>
      <c r="E47" s="17"/>
      <c r="F47" s="17"/>
      <c r="G47" s="17"/>
      <c r="H47" s="17"/>
      <c r="I47" s="20"/>
      <c r="J47" s="20"/>
      <c r="K47" s="20"/>
      <c r="L47" s="20"/>
    </row>
    <row r="48" spans="1:12">
      <c r="A48" s="12">
        <v>40</v>
      </c>
      <c r="B48" s="20"/>
      <c r="C48" s="20"/>
      <c r="D48" s="20"/>
      <c r="E48" s="17"/>
      <c r="F48" s="17"/>
      <c r="G48" s="17"/>
      <c r="H48" s="17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17"/>
      <c r="F49" s="17"/>
      <c r="G49" s="17"/>
      <c r="H49" s="17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</row>
    <row r="65" spans="1:10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</row>
    <row r="66" spans="1:10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</row>
    <row r="67" spans="1:10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</row>
    <row r="68" spans="1:10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</row>
    <row r="69" spans="1:10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</row>
    <row r="70" spans="1:10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</row>
    <row r="71" spans="1:10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</row>
    <row r="72" spans="1:10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</row>
    <row r="73" spans="1:10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</row>
    <row r="74" spans="1:10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</row>
    <row r="75" spans="1:10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</row>
    <row r="76" spans="1:10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</row>
    <row r="77" spans="1:10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</row>
    <row r="78" spans="1:10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</row>
    <row r="79" spans="1:10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</row>
    <row r="80" spans="1:10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</row>
    <row r="81" spans="1:10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</row>
    <row r="82" spans="1:10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</row>
    <row r="83" spans="1:10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</row>
    <row r="84" spans="1:10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</row>
    <row r="85" spans="1:10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</row>
    <row r="86" spans="1:10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</row>
    <row r="87" spans="1:10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</row>
    <row r="88" spans="1:10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</row>
    <row r="89" spans="1:10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</row>
    <row r="90" spans="1:10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</row>
    <row r="91" spans="1:10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</row>
    <row r="92" spans="1:10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</row>
    <row r="93" spans="1:10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</row>
    <row r="94" spans="1:10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</row>
    <row r="95" spans="1:10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</row>
    <row r="96" spans="1:10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</row>
    <row r="97" spans="1:10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</row>
    <row r="98" spans="1:10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</row>
    <row r="99" spans="1:10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</row>
    <row r="100" spans="1:10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</row>
    <row r="101" spans="1:10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</row>
    <row r="102" spans="1:10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</row>
    <row r="103" spans="1:10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</row>
    <row r="104" spans="1:10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</row>
    <row r="105" spans="1:10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</row>
    <row r="106" spans="1:10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</row>
    <row r="107" spans="1:10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</row>
    <row r="108" spans="1:10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</row>
    <row r="109" spans="1:10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</row>
    <row r="110" spans="1:10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</row>
    <row r="111" spans="1:10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</row>
    <row r="112" spans="1:10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</row>
    <row r="113" spans="1:10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</row>
    <row r="114" spans="1:10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</row>
    <row r="115" spans="1:10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</row>
    <row r="116" spans="1:10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</row>
    <row r="117" spans="1:10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</row>
    <row r="118" spans="1:10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</row>
    <row r="119" spans="1:10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</row>
    <row r="120" spans="1:10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</row>
    <row r="124" spans="1:10">
      <c r="B124" s="24" t="s">
        <v>1</v>
      </c>
      <c r="C124" s="25" cm="1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 cm="1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0">
      <c r="B125" s="20" t="s">
        <v>33</v>
      </c>
      <c r="C125" s="27" cm="1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 cm="1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0">
      <c r="B126" s="20" t="s">
        <v>34</v>
      </c>
      <c r="C126" s="27" cm="1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 cm="1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0">
      <c r="B127" s="20" t="s">
        <v>35</v>
      </c>
      <c r="C127" s="27" cm="1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 cm="1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0">
      <c r="B128" s="20" t="s">
        <v>36</v>
      </c>
      <c r="C128" s="27" cm="1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 cm="1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 cm="1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 cm="1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 cm="1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 cm="1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 cm="1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 cm="1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 cm="1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 cm="1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 cm="1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>
      <c r="B135" s="24" t="s">
        <v>2</v>
      </c>
      <c r="C135" s="25" cm="1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 cm="1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 cm="1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 cm="1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 cm="1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 cm="1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 cm="1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 cm="1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 cm="1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 cm="1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 cm="1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 cm="1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 cm="1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 cm="1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 cm="1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 cm="1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 cm="1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 cm="1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>
      <c r="B146" s="30" t="s">
        <v>3</v>
      </c>
      <c r="C146" s="25" cm="1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 cm="1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 cm="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 cm="1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 cm="1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 cm="1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 cm="1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 cm="1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 cm="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 cm="1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 cm="1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 cm="1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 cm="1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 cm="1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 cm="1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 cm="1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 cm="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 cm="1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>
      <c r="B157" s="28" t="s">
        <v>42</v>
      </c>
      <c r="C157" s="32" cm="1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 cm="1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 cm="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 cm="1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 cm="1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 cm="1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 cm="1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 cm="1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 cm="1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 cm="1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 cm="1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 cm="1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 cm="1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 cm="1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 cm="1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 cm="1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 cm="1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 cm="1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>
      <c r="B168" s="28" t="s">
        <v>12</v>
      </c>
      <c r="C168" s="25" cm="1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 cm="1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 cm="1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 cm="1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 cm="1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 cm="1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 cm="1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 cm="1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 cm="1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 cm="1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 cm="1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 cm="1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 cm="1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 cm="1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 cm="1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 cm="1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 cm="1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 cm="1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>
      <c r="B179" s="26" t="s">
        <v>43</v>
      </c>
      <c r="C179" s="25" cm="1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 cm="1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 cm="1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 cm="1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 cm="1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 cm="1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 cm="1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 cm="1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 cm="1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 cm="1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 cm="1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 cm="1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 cm="1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 cm="1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 cm="1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 cm="1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 cm="1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 cm="1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>
      <c r="B190" s="28" t="s">
        <v>20</v>
      </c>
      <c r="C190" s="25" cm="1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 cm="1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 cm="1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 cm="1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 cm="1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 cm="1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 cm="1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 cm="1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 cm="1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 cm="1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 cm="1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 cm="1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 cm="1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 cm="1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 cm="1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 cm="1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 cm="1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 cm="1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>
      <c r="B201" s="26" t="s">
        <v>44</v>
      </c>
      <c r="C201" s="25" cm="1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 cm="1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 cm="1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 cm="1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 cm="1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 cm="1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 cm="1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 cm="1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 cm="1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 cm="1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 cm="1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 cm="1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 cm="1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 cm="1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 cm="1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 cm="1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 cm="1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 cm="1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>
      <c r="B212" s="26" t="s">
        <v>13</v>
      </c>
      <c r="C212" s="25" cm="1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 cm="1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 cm="1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 cm="1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 cm="1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 cm="1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 cm="1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 cm="1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 cm="1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 cm="1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 cm="1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 cm="1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 cm="1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 cm="1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 cm="1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 cm="1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 cm="1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 cm="1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>
      <c r="B223" s="26" t="s">
        <v>46</v>
      </c>
      <c r="C223" s="25" cm="1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 cm="1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 cm="1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 cm="1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 cm="1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 cm="1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 cm="1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 cm="1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 cm="1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 cm="1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 cm="1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 cm="1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 cm="1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 cm="1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 cm="1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 cm="1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 cm="1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 cm="1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>
      <c r="B234" s="28" t="s">
        <v>47</v>
      </c>
      <c r="C234" s="25" cm="1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 cm="1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 cm="1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 cm="1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 cm="1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 cm="1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 cm="1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 cm="1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 cm="1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50</v>
      </c>
      <c r="C246" s="20" t="s">
        <v>51</v>
      </c>
      <c r="D246" s="20" t="s">
        <v>52</v>
      </c>
      <c r="E246" s="20" t="s">
        <v>53</v>
      </c>
      <c r="F246" s="20" t="s">
        <v>54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mergeCells count="4">
    <mergeCell ref="A1:L1"/>
    <mergeCell ref="A2:L2"/>
    <mergeCell ref="F3:H3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100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A1:L258"/>
  <sheetViews>
    <sheetView zoomScale="98" zoomScaleNormal="45" workbookViewId="0">
      <selection activeCell="L23" sqref="L23"/>
    </sheetView>
  </sheetViews>
  <sheetFormatPr defaultRowHeight="13.8"/>
  <cols>
    <col min="1" max="1" width="4.09765625" customWidth="1"/>
    <col min="2" max="2" width="23.3984375" customWidth="1"/>
    <col min="3" max="3" width="9.5" customWidth="1"/>
    <col min="4" max="4" width="12" customWidth="1"/>
    <col min="5" max="5" width="7.5" customWidth="1"/>
    <col min="6" max="6" width="12.19921875" customWidth="1"/>
    <col min="7" max="7" width="12.09765625" customWidth="1"/>
    <col min="8" max="8" width="11.5" customWidth="1"/>
    <col min="9" max="9" width="8.8984375" customWidth="1"/>
  </cols>
  <sheetData>
    <row r="1" spans="1:12" ht="22.2">
      <c r="A1" s="58">
        <v>45921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2">
      <c r="A2" s="59" t="s">
        <v>0</v>
      </c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63"/>
      <c r="L3" s="63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63"/>
      <c r="L4" s="63"/>
    </row>
    <row r="5" spans="1:12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63"/>
      <c r="L5" s="63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63"/>
      <c r="L6" s="63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63"/>
      <c r="L7" s="63"/>
    </row>
    <row r="8" spans="1:12" ht="55.2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55</v>
      </c>
      <c r="J8" s="36" t="s">
        <v>31</v>
      </c>
      <c r="K8" s="38" t="s">
        <v>32</v>
      </c>
      <c r="L8" s="36"/>
    </row>
    <row r="9" spans="1:12">
      <c r="A9" s="12">
        <v>1</v>
      </c>
      <c r="B9" s="20"/>
      <c r="C9" s="20"/>
      <c r="D9" s="20"/>
      <c r="E9" s="17"/>
      <c r="F9" s="17"/>
      <c r="G9" s="37"/>
      <c r="H9" s="37"/>
      <c r="I9" s="19"/>
      <c r="J9" s="20"/>
      <c r="K9" s="20"/>
      <c r="L9" s="20"/>
    </row>
    <row r="10" spans="1:12">
      <c r="A10" s="12">
        <v>2</v>
      </c>
      <c r="B10" s="20"/>
      <c r="C10" s="20"/>
      <c r="D10" s="20"/>
      <c r="E10" s="17"/>
      <c r="F10" s="17"/>
      <c r="G10" s="37"/>
      <c r="H10" s="37"/>
      <c r="I10" s="19"/>
      <c r="J10" s="22"/>
      <c r="K10" s="23"/>
      <c r="L10" s="23"/>
    </row>
    <row r="11" spans="1:12">
      <c r="A11" s="12">
        <v>3</v>
      </c>
      <c r="B11" s="20"/>
      <c r="C11" s="20"/>
      <c r="D11" s="20"/>
      <c r="E11" s="17"/>
      <c r="F11" s="17"/>
      <c r="G11" s="37"/>
      <c r="H11" s="37"/>
      <c r="I11" s="19"/>
      <c r="J11" s="20"/>
      <c r="K11" s="20"/>
      <c r="L11" s="20"/>
    </row>
    <row r="12" spans="1:12">
      <c r="A12" s="12">
        <v>4</v>
      </c>
      <c r="B12" s="20"/>
      <c r="C12" s="20"/>
      <c r="D12" s="20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0"/>
      <c r="D13" s="20"/>
      <c r="E13" s="17"/>
      <c r="F13" s="17"/>
      <c r="G13" s="37"/>
      <c r="H13" s="37"/>
      <c r="I13" s="19"/>
      <c r="J13" s="22"/>
      <c r="K13" s="23"/>
      <c r="L13" s="23"/>
    </row>
    <row r="14" spans="1:12">
      <c r="A14" s="12">
        <v>6</v>
      </c>
      <c r="B14" s="20"/>
      <c r="C14" s="20"/>
      <c r="D14" s="20"/>
      <c r="E14" s="17"/>
      <c r="F14" s="17"/>
      <c r="G14" s="37"/>
      <c r="H14" s="37"/>
      <c r="I14" s="19"/>
      <c r="J14" s="22"/>
      <c r="K14" s="23"/>
      <c r="L14" s="23"/>
    </row>
    <row r="15" spans="1:12">
      <c r="A15" s="12">
        <v>7</v>
      </c>
      <c r="B15" s="20"/>
      <c r="C15" s="20"/>
      <c r="D15" s="20"/>
      <c r="E15" s="17"/>
      <c r="F15" s="17"/>
      <c r="G15" s="37"/>
      <c r="H15" s="37"/>
      <c r="I15" s="19"/>
      <c r="J15" s="20"/>
      <c r="K15" s="20"/>
      <c r="L15" s="20"/>
    </row>
    <row r="16" spans="1:12">
      <c r="A16" s="12">
        <v>8</v>
      </c>
      <c r="B16" s="20"/>
      <c r="C16" s="20"/>
      <c r="D16" s="20"/>
      <c r="E16" s="17"/>
      <c r="F16" s="17"/>
      <c r="G16" s="37"/>
      <c r="H16" s="37"/>
      <c r="I16" s="19"/>
      <c r="J16" s="22"/>
      <c r="K16" s="23"/>
      <c r="L16" s="23"/>
    </row>
    <row r="17" spans="1:12">
      <c r="A17" s="12">
        <v>9</v>
      </c>
      <c r="B17" s="20"/>
      <c r="C17" s="20"/>
      <c r="D17" s="20"/>
      <c r="E17" s="17"/>
      <c r="F17" s="17"/>
      <c r="G17" s="37"/>
      <c r="H17" s="37"/>
      <c r="I17" s="19"/>
      <c r="J17" s="22"/>
      <c r="K17" s="23"/>
      <c r="L17" s="23"/>
    </row>
    <row r="18" spans="1:12">
      <c r="A18" s="12">
        <v>10</v>
      </c>
      <c r="B18" s="20"/>
      <c r="C18" s="20"/>
      <c r="D18" s="20"/>
      <c r="E18" s="17"/>
      <c r="F18" s="17"/>
      <c r="G18" s="37"/>
      <c r="H18" s="37"/>
      <c r="I18" s="19"/>
      <c r="J18" s="20"/>
      <c r="K18" s="20"/>
      <c r="L18" s="20"/>
    </row>
    <row r="19" spans="1:12">
      <c r="A19" s="12">
        <v>11</v>
      </c>
      <c r="B19" s="20"/>
      <c r="C19" s="20"/>
      <c r="D19" s="20"/>
      <c r="E19" s="17"/>
      <c r="F19" s="17"/>
      <c r="G19" s="37"/>
      <c r="H19" s="37"/>
      <c r="I19" s="19"/>
      <c r="J19" s="22"/>
      <c r="K19" s="20"/>
      <c r="L19" s="20"/>
    </row>
    <row r="20" spans="1:12">
      <c r="A20" s="12">
        <v>12</v>
      </c>
      <c r="B20" s="20"/>
      <c r="C20" s="20"/>
      <c r="D20" s="20"/>
      <c r="E20" s="17"/>
      <c r="F20" s="17"/>
      <c r="G20" s="37"/>
      <c r="H20" s="37"/>
      <c r="I20" s="19"/>
      <c r="J20" s="22"/>
      <c r="K20" s="23"/>
      <c r="L20" s="23"/>
    </row>
    <row r="21" spans="1:12">
      <c r="A21" s="12">
        <v>13</v>
      </c>
      <c r="B21" s="20"/>
      <c r="C21" s="20"/>
      <c r="D21" s="20"/>
      <c r="E21" s="17"/>
      <c r="F21" s="17"/>
      <c r="G21" s="37"/>
      <c r="H21" s="37"/>
      <c r="I21" s="19"/>
      <c r="J21" s="22"/>
      <c r="K21" s="23"/>
      <c r="L21" s="23"/>
    </row>
    <row r="22" spans="1:12">
      <c r="A22" s="12">
        <v>14</v>
      </c>
      <c r="B22" s="20"/>
      <c r="C22" s="20"/>
      <c r="D22" s="20"/>
      <c r="E22" s="17"/>
      <c r="F22" s="17"/>
      <c r="G22" s="37"/>
      <c r="H22" s="37"/>
      <c r="I22" s="19"/>
      <c r="J22" s="20"/>
      <c r="K22" s="20"/>
      <c r="L22" s="20"/>
    </row>
    <row r="23" spans="1:12">
      <c r="A23" s="12">
        <v>15</v>
      </c>
      <c r="B23" s="20"/>
      <c r="C23" s="20"/>
      <c r="D23" s="20"/>
      <c r="E23" s="17"/>
      <c r="F23" s="17"/>
      <c r="G23" s="37"/>
      <c r="H23" s="37"/>
      <c r="I23" s="19"/>
      <c r="J23" s="20"/>
      <c r="K23" s="20"/>
      <c r="L23" s="20"/>
    </row>
    <row r="24" spans="1:12">
      <c r="A24" s="12">
        <v>16</v>
      </c>
      <c r="B24" s="20"/>
      <c r="C24" s="20"/>
      <c r="D24" s="20"/>
      <c r="E24" s="17"/>
      <c r="F24" s="17"/>
      <c r="G24" s="37"/>
      <c r="H24" s="37"/>
      <c r="I24" s="19"/>
      <c r="J24" s="22"/>
      <c r="K24" s="23"/>
      <c r="L24" s="23"/>
    </row>
    <row r="25" spans="1:12">
      <c r="A25" s="12">
        <v>17</v>
      </c>
      <c r="B25" s="20"/>
      <c r="C25" s="20"/>
      <c r="D25" s="20"/>
      <c r="E25" s="17"/>
      <c r="F25" s="17"/>
      <c r="G25" s="37"/>
      <c r="H25" s="37"/>
      <c r="I25" s="19"/>
      <c r="J25" s="22"/>
      <c r="K25" s="23"/>
      <c r="L25" s="23"/>
    </row>
    <row r="26" spans="1:12">
      <c r="A26" s="12">
        <v>18</v>
      </c>
      <c r="B26" s="20"/>
      <c r="C26" s="20"/>
      <c r="D26" s="20"/>
      <c r="E26" s="17"/>
      <c r="F26" s="17"/>
      <c r="G26" s="37"/>
      <c r="H26" s="37"/>
      <c r="I26" s="19"/>
      <c r="J26" s="22"/>
      <c r="K26" s="23"/>
      <c r="L26" s="23"/>
    </row>
    <row r="27" spans="1:12">
      <c r="A27" s="12">
        <v>19</v>
      </c>
      <c r="B27" s="20"/>
      <c r="C27" s="20"/>
      <c r="D27" s="20"/>
      <c r="E27" s="17"/>
      <c r="F27" s="17"/>
      <c r="G27" s="37"/>
      <c r="H27" s="37"/>
      <c r="I27" s="19"/>
      <c r="J27" s="20"/>
      <c r="K27" s="20"/>
      <c r="L27" s="20"/>
    </row>
    <row r="28" spans="1:12">
      <c r="A28" s="12">
        <v>20</v>
      </c>
      <c r="B28" s="20"/>
      <c r="C28" s="20"/>
      <c r="D28" s="20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20"/>
      <c r="E29" s="17"/>
      <c r="F29" s="17"/>
      <c r="G29" s="37"/>
      <c r="H29" s="37"/>
      <c r="I29" s="19"/>
      <c r="J29" s="22"/>
      <c r="K29" s="23"/>
      <c r="L29" s="23"/>
    </row>
    <row r="30" spans="1:12">
      <c r="A30" s="12">
        <v>22</v>
      </c>
      <c r="B30" s="20"/>
      <c r="C30" s="20"/>
      <c r="D30" s="20"/>
      <c r="E30" s="17"/>
      <c r="F30" s="17"/>
      <c r="G30" s="37"/>
      <c r="H30" s="37"/>
      <c r="I30" s="19"/>
      <c r="J30" s="20"/>
      <c r="K30" s="20"/>
      <c r="L30" s="20"/>
    </row>
    <row r="31" spans="1:12">
      <c r="A31" s="12">
        <v>23</v>
      </c>
      <c r="B31" s="20"/>
      <c r="C31" s="20"/>
      <c r="D31" s="17"/>
      <c r="E31" s="17"/>
      <c r="F31" s="17"/>
      <c r="G31" s="37"/>
      <c r="H31" s="37"/>
      <c r="I31" s="19"/>
      <c r="J31" s="22"/>
      <c r="K31" s="23"/>
      <c r="L31" s="23"/>
    </row>
    <row r="32" spans="1:12">
      <c r="A32" s="12">
        <v>24</v>
      </c>
      <c r="B32" s="12"/>
      <c r="C32" s="21"/>
      <c r="D32" s="17"/>
      <c r="E32" s="16"/>
      <c r="F32" s="17"/>
      <c r="G32" s="18"/>
      <c r="H32" s="18"/>
      <c r="I32" s="20"/>
      <c r="J32" s="20"/>
      <c r="K32" s="20"/>
      <c r="L32" s="20"/>
    </row>
    <row r="33" spans="1:12">
      <c r="A33" s="12">
        <v>25</v>
      </c>
      <c r="B33" s="12"/>
      <c r="C33" s="21"/>
      <c r="D33" s="17"/>
      <c r="E33" s="16"/>
      <c r="F33" s="17"/>
      <c r="G33" s="18"/>
      <c r="H33" s="18"/>
      <c r="I33" s="20"/>
      <c r="J33" s="20"/>
      <c r="K33" s="20"/>
      <c r="L33" s="20"/>
    </row>
    <row r="34" spans="1:12">
      <c r="A34" s="12">
        <v>26</v>
      </c>
      <c r="B34" s="12"/>
      <c r="C34" s="14"/>
      <c r="D34" s="15"/>
      <c r="E34" s="16"/>
      <c r="F34" s="17"/>
      <c r="G34" s="18"/>
      <c r="H34" s="18"/>
      <c r="I34" s="20"/>
      <c r="J34" s="20"/>
      <c r="K34" s="20"/>
      <c r="L34" s="20"/>
    </row>
    <row r="35" spans="1:12">
      <c r="A35" s="12">
        <v>27</v>
      </c>
      <c r="B35" s="12"/>
      <c r="C35" s="14"/>
      <c r="D35" s="17"/>
      <c r="E35" s="16"/>
      <c r="F35" s="17"/>
      <c r="G35" s="18"/>
      <c r="H35" s="18"/>
      <c r="I35" s="20"/>
      <c r="J35" s="20"/>
      <c r="K35" s="20"/>
      <c r="L35" s="20"/>
    </row>
    <row r="36" spans="1:12">
      <c r="A36" s="12">
        <v>28</v>
      </c>
      <c r="B36" s="12"/>
      <c r="C36" s="21"/>
      <c r="D36" s="17"/>
      <c r="E36" s="16"/>
      <c r="F36" s="17"/>
      <c r="G36" s="18"/>
      <c r="H36" s="18"/>
      <c r="I36" s="20"/>
      <c r="J36" s="20"/>
      <c r="K36" s="20"/>
      <c r="L36" s="20"/>
    </row>
    <row r="37" spans="1:12">
      <c r="A37" s="12">
        <v>29</v>
      </c>
      <c r="B37" s="12"/>
      <c r="C37" s="21"/>
      <c r="D37" s="17"/>
      <c r="E37" s="16"/>
      <c r="F37" s="17"/>
      <c r="G37" s="18"/>
      <c r="H37" s="18"/>
      <c r="I37" s="20"/>
      <c r="J37" s="20"/>
      <c r="K37" s="20"/>
      <c r="L37" s="20"/>
    </row>
    <row r="38" spans="1:12">
      <c r="A38" s="12">
        <v>30</v>
      </c>
      <c r="B38" s="12"/>
      <c r="C38" s="21"/>
      <c r="D38" s="17"/>
      <c r="E38" s="17"/>
      <c r="F38" s="16"/>
      <c r="G38" s="18"/>
      <c r="H38" s="18"/>
      <c r="I38" s="20"/>
      <c r="J38" s="20"/>
      <c r="K38" s="20"/>
      <c r="L38" s="20"/>
    </row>
    <row r="39" spans="1:12">
      <c r="A39" s="12">
        <v>31</v>
      </c>
      <c r="B39" s="12"/>
      <c r="C39" s="21"/>
      <c r="D39" s="17"/>
      <c r="E39" s="16"/>
      <c r="F39" s="17"/>
      <c r="G39" s="18"/>
      <c r="H39" s="18"/>
      <c r="I39" s="20"/>
      <c r="J39" s="20"/>
      <c r="K39" s="20"/>
      <c r="L39" s="20"/>
    </row>
    <row r="40" spans="1:12">
      <c r="A40" s="12">
        <v>32</v>
      </c>
      <c r="B40" s="20"/>
      <c r="C40" s="20"/>
      <c r="D40" s="20"/>
      <c r="E40" s="17"/>
      <c r="F40" s="17"/>
      <c r="G40" s="17"/>
      <c r="H40" s="17"/>
      <c r="I40" s="20"/>
      <c r="J40" s="20"/>
      <c r="K40" s="20"/>
      <c r="L40" s="20"/>
    </row>
    <row r="41" spans="1:12">
      <c r="A41" s="12">
        <v>33</v>
      </c>
      <c r="B41" s="20"/>
      <c r="C41" s="20"/>
      <c r="D41" s="20"/>
      <c r="E41" s="17"/>
      <c r="F41" s="17"/>
      <c r="G41" s="17"/>
      <c r="H41" s="17"/>
      <c r="I41" s="20"/>
      <c r="J41" s="20"/>
      <c r="K41" s="20"/>
      <c r="L41" s="20"/>
    </row>
    <row r="42" spans="1:12">
      <c r="A42" s="12">
        <v>34</v>
      </c>
      <c r="B42" s="20"/>
      <c r="C42" s="20"/>
      <c r="D42" s="20"/>
      <c r="E42" s="17"/>
      <c r="F42" s="17"/>
      <c r="G42" s="17"/>
      <c r="H42" s="17"/>
      <c r="I42" s="20"/>
      <c r="J42" s="20"/>
      <c r="K42" s="20"/>
      <c r="L42" s="20"/>
    </row>
    <row r="43" spans="1:12">
      <c r="A43" s="12">
        <v>35</v>
      </c>
      <c r="B43" s="20"/>
      <c r="C43" s="20"/>
      <c r="D43" s="20"/>
      <c r="E43" s="17"/>
      <c r="F43" s="17"/>
      <c r="G43" s="17"/>
      <c r="H43" s="17"/>
      <c r="I43" s="20"/>
      <c r="J43" s="20"/>
      <c r="K43" s="20"/>
      <c r="L43" s="20"/>
    </row>
    <row r="44" spans="1:12">
      <c r="A44" s="12">
        <v>36</v>
      </c>
      <c r="B44" s="20"/>
      <c r="C44" s="20"/>
      <c r="D44" s="20"/>
      <c r="E44" s="17"/>
      <c r="F44" s="17"/>
      <c r="G44" s="17"/>
      <c r="H44" s="17"/>
      <c r="I44" s="20"/>
      <c r="J44" s="20"/>
      <c r="K44" s="20"/>
      <c r="L44" s="20"/>
    </row>
    <row r="45" spans="1:12">
      <c r="A45" s="12">
        <v>37</v>
      </c>
      <c r="B45" s="20"/>
      <c r="C45" s="20"/>
      <c r="D45" s="20"/>
      <c r="E45" s="17"/>
      <c r="F45" s="17"/>
      <c r="G45" s="17"/>
      <c r="H45" s="17"/>
      <c r="I45" s="20"/>
      <c r="J45" s="20"/>
      <c r="K45" s="20"/>
      <c r="L45" s="20"/>
    </row>
    <row r="46" spans="1:12">
      <c r="A46" s="12">
        <v>38</v>
      </c>
      <c r="B46" s="20"/>
      <c r="C46" s="20"/>
      <c r="D46" s="20"/>
      <c r="E46" s="17"/>
      <c r="F46" s="17"/>
      <c r="G46" s="17"/>
      <c r="H46" s="17"/>
      <c r="I46" s="20"/>
      <c r="J46" s="20"/>
      <c r="K46" s="20"/>
      <c r="L46" s="20"/>
    </row>
    <row r="47" spans="1:12">
      <c r="A47" s="12">
        <v>39</v>
      </c>
      <c r="B47" s="20"/>
      <c r="C47" s="20"/>
      <c r="D47" s="20"/>
      <c r="E47" s="17"/>
      <c r="F47" s="17"/>
      <c r="G47" s="17"/>
      <c r="H47" s="17"/>
      <c r="I47" s="20"/>
      <c r="J47" s="20"/>
      <c r="K47" s="20"/>
      <c r="L47" s="20"/>
    </row>
    <row r="48" spans="1:12">
      <c r="A48" s="12">
        <v>40</v>
      </c>
      <c r="B48" s="20"/>
      <c r="C48" s="20"/>
      <c r="D48" s="20"/>
      <c r="E48" s="17"/>
      <c r="F48" s="17"/>
      <c r="G48" s="17"/>
      <c r="H48" s="17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17"/>
      <c r="F49" s="17"/>
      <c r="G49" s="17"/>
      <c r="H49" s="17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>
      <c r="B124" s="24" t="s">
        <v>1</v>
      </c>
      <c r="C124" s="25" cm="1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 cm="1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 cm="1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 cm="1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 cm="1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 cm="1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 cm="1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 cm="1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 cm="1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 cm="1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 cm="1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 cm="1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 cm="1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 cm="1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 cm="1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 cm="1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 cm="1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 cm="1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 cm="1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>
      <c r="B135" s="24" t="s">
        <v>2</v>
      </c>
      <c r="C135" s="25" cm="1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 cm="1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 cm="1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 cm="1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 cm="1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 cm="1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 cm="1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 cm="1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 cm="1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 cm="1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 cm="1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 cm="1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 cm="1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 cm="1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 cm="1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 cm="1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 cm="1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 cm="1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>
      <c r="B146" s="30" t="s">
        <v>3</v>
      </c>
      <c r="C146" s="25" cm="1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 cm="1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 cm="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 cm="1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 cm="1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 cm="1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 cm="1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 cm="1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 cm="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 cm="1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 cm="1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 cm="1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 cm="1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 cm="1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 cm="1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 cm="1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 cm="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 cm="1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>
      <c r="B157" s="28" t="s">
        <v>42</v>
      </c>
      <c r="C157" s="32" cm="1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 cm="1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 cm="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 cm="1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 cm="1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 cm="1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 cm="1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 cm="1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 cm="1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 cm="1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 cm="1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 cm="1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 cm="1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 cm="1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 cm="1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 cm="1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 cm="1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 cm="1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>
      <c r="B168" s="28" t="s">
        <v>12</v>
      </c>
      <c r="C168" s="25" cm="1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 cm="1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 cm="1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 cm="1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 cm="1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 cm="1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 cm="1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 cm="1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 cm="1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 cm="1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 cm="1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 cm="1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 cm="1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 cm="1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 cm="1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 cm="1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 cm="1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 cm="1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>
      <c r="B179" s="26" t="s">
        <v>43</v>
      </c>
      <c r="C179" s="25" cm="1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 cm="1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 cm="1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 cm="1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 cm="1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 cm="1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 cm="1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 cm="1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 cm="1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 cm="1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 cm="1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 cm="1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 cm="1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 cm="1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 cm="1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 cm="1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 cm="1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 cm="1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>
      <c r="B190" s="28" t="s">
        <v>20</v>
      </c>
      <c r="C190" s="25" cm="1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 cm="1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 cm="1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 cm="1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 cm="1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 cm="1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 cm="1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 cm="1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 cm="1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 cm="1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 cm="1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 cm="1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 cm="1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 cm="1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 cm="1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 cm="1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 cm="1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 cm="1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>
      <c r="B201" s="26" t="s">
        <v>44</v>
      </c>
      <c r="C201" s="25" cm="1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 cm="1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 cm="1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 cm="1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 cm="1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 cm="1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 cm="1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 cm="1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 cm="1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 cm="1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 cm="1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 cm="1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 cm="1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 cm="1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 cm="1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 cm="1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 cm="1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 cm="1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>
      <c r="B212" s="26" t="s">
        <v>13</v>
      </c>
      <c r="C212" s="25" cm="1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 cm="1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 cm="1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 cm="1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 cm="1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 cm="1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 cm="1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 cm="1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 cm="1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 cm="1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 cm="1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 cm="1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 cm="1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 cm="1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 cm="1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 cm="1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 cm="1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 cm="1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>
      <c r="B223" s="26" t="s">
        <v>46</v>
      </c>
      <c r="C223" s="25" cm="1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 cm="1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 cm="1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 cm="1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 cm="1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 cm="1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 cm="1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 cm="1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 cm="1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 cm="1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 cm="1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 cm="1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 cm="1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 cm="1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 cm="1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 cm="1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 cm="1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 cm="1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>
      <c r="B234" s="28" t="s">
        <v>47</v>
      </c>
      <c r="C234" s="25" cm="1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 cm="1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 cm="1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 cm="1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 cm="1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 cm="1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 cm="1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 cm="1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 cm="1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50</v>
      </c>
      <c r="C246" s="20" t="s">
        <v>51</v>
      </c>
      <c r="D246" s="20" t="s">
        <v>52</v>
      </c>
      <c r="E246" s="20" t="s">
        <v>53</v>
      </c>
      <c r="F246" s="20" t="s">
        <v>54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sortState ref="B9:I39">
    <sortCondition ref="B9"/>
  </sortState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100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61"/>
  <sheetViews>
    <sheetView topLeftCell="A42" zoomScale="98" zoomScaleNormal="45" workbookViewId="0">
      <selection activeCell="B9" sqref="B9:B61"/>
    </sheetView>
  </sheetViews>
  <sheetFormatPr defaultRowHeight="13.8"/>
  <cols>
    <col min="1" max="1" width="4.09765625" customWidth="1"/>
    <col min="2" max="2" width="22" customWidth="1"/>
    <col min="3" max="3" width="10" customWidth="1"/>
    <col min="4" max="4" width="12.19921875" style="56" customWidth="1"/>
    <col min="5" max="5" width="10.3984375" customWidth="1"/>
    <col min="6" max="6" width="15.19921875" customWidth="1"/>
    <col min="7" max="7" width="11.19921875" customWidth="1"/>
    <col min="8" max="8" width="10.19921875" customWidth="1"/>
    <col min="9" max="9" width="10.09765625" customWidth="1"/>
  </cols>
  <sheetData>
    <row r="1" spans="1:13" ht="22.2">
      <c r="A1" s="58">
        <v>45922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>
        <v>2</v>
      </c>
    </row>
    <row r="2" spans="1:13">
      <c r="A2" s="59" t="s">
        <v>0</v>
      </c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3" ht="14.25" customHeight="1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5"/>
      <c r="L3" s="6"/>
    </row>
    <row r="4" spans="1:13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8"/>
      <c r="L4" s="9"/>
    </row>
    <row r="5" spans="1:13" ht="14.25" customHeight="1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10"/>
      <c r="L5" s="2"/>
    </row>
    <row r="6" spans="1:13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8"/>
      <c r="L6" s="9"/>
    </row>
    <row r="7" spans="1:13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10"/>
      <c r="L7" s="2"/>
    </row>
    <row r="8" spans="1:13" ht="41.4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3">
      <c r="A9" s="12">
        <v>1</v>
      </c>
      <c r="B9" s="20" t="s">
        <v>159</v>
      </c>
      <c r="C9" s="20"/>
      <c r="D9" s="39"/>
      <c r="E9" s="17">
        <v>1</v>
      </c>
      <c r="F9" s="17" t="s">
        <v>56</v>
      </c>
      <c r="G9" s="37">
        <v>45915</v>
      </c>
      <c r="H9" s="37">
        <v>45922</v>
      </c>
      <c r="I9" s="19"/>
      <c r="J9" s="20"/>
      <c r="K9" s="20"/>
      <c r="L9" s="20"/>
    </row>
    <row r="10" spans="1:13">
      <c r="A10" s="12">
        <v>2</v>
      </c>
      <c r="B10" s="20" t="s">
        <v>160</v>
      </c>
      <c r="C10" s="20"/>
      <c r="D10" s="17"/>
      <c r="E10" s="17" t="s">
        <v>58</v>
      </c>
      <c r="F10" s="17" t="s">
        <v>59</v>
      </c>
      <c r="G10" s="37">
        <v>45915</v>
      </c>
      <c r="H10" s="37">
        <v>45922</v>
      </c>
      <c r="I10" s="19"/>
      <c r="J10" s="20"/>
      <c r="K10" s="23"/>
      <c r="L10" s="23"/>
    </row>
    <row r="11" spans="1:13">
      <c r="A11" s="12">
        <v>3</v>
      </c>
      <c r="B11" s="20" t="s">
        <v>161</v>
      </c>
      <c r="C11" s="20"/>
      <c r="D11" s="17"/>
      <c r="E11" s="17">
        <v>1</v>
      </c>
      <c r="F11" s="17" t="s">
        <v>60</v>
      </c>
      <c r="G11" s="37">
        <v>45915</v>
      </c>
      <c r="H11" s="37">
        <v>45922</v>
      </c>
      <c r="I11" s="19"/>
      <c r="J11" s="22"/>
      <c r="K11" s="20"/>
      <c r="L11" s="20"/>
    </row>
    <row r="12" spans="1:13">
      <c r="A12" s="12">
        <v>4</v>
      </c>
      <c r="B12" s="20" t="s">
        <v>162</v>
      </c>
      <c r="C12" s="20"/>
      <c r="D12" s="17"/>
      <c r="E12" s="17" t="s">
        <v>58</v>
      </c>
      <c r="F12" s="17" t="s">
        <v>62</v>
      </c>
      <c r="G12" s="37">
        <v>45915</v>
      </c>
      <c r="H12" s="37">
        <v>45922</v>
      </c>
      <c r="I12" s="19"/>
      <c r="J12" s="20"/>
      <c r="K12" s="20"/>
      <c r="L12" s="20"/>
    </row>
    <row r="13" spans="1:13">
      <c r="A13" s="12">
        <v>5</v>
      </c>
      <c r="B13" s="20" t="s">
        <v>163</v>
      </c>
      <c r="C13" s="20"/>
      <c r="D13" s="17"/>
      <c r="E13" s="17">
        <v>1</v>
      </c>
      <c r="F13" s="17" t="s">
        <v>60</v>
      </c>
      <c r="G13" s="37">
        <v>45915</v>
      </c>
      <c r="H13" s="37">
        <v>45922</v>
      </c>
      <c r="I13" s="19"/>
      <c r="J13" s="20"/>
      <c r="K13" s="23"/>
      <c r="L13" s="23"/>
    </row>
    <row r="14" spans="1:13">
      <c r="A14" s="12">
        <v>6</v>
      </c>
      <c r="B14" s="20" t="s">
        <v>164</v>
      </c>
      <c r="C14" s="20"/>
      <c r="D14" s="17"/>
      <c r="E14" s="17">
        <v>1</v>
      </c>
      <c r="F14" s="17" t="s">
        <v>60</v>
      </c>
      <c r="G14" s="37">
        <v>45915</v>
      </c>
      <c r="H14" s="37">
        <v>45922</v>
      </c>
      <c r="I14" s="19"/>
      <c r="J14" s="20"/>
      <c r="K14" s="23"/>
      <c r="L14" s="23"/>
    </row>
    <row r="15" spans="1:13">
      <c r="A15" s="12">
        <v>7</v>
      </c>
      <c r="B15" s="20" t="s">
        <v>165</v>
      </c>
      <c r="C15" s="21"/>
      <c r="D15" s="17"/>
      <c r="E15" s="17">
        <v>1</v>
      </c>
      <c r="F15" s="17" t="s">
        <v>60</v>
      </c>
      <c r="G15" s="37">
        <v>45915</v>
      </c>
      <c r="H15" s="37">
        <v>45922</v>
      </c>
      <c r="I15" s="19"/>
      <c r="J15" s="20"/>
      <c r="K15" s="20"/>
      <c r="L15" s="20"/>
    </row>
    <row r="16" spans="1:13">
      <c r="A16" s="12">
        <v>8</v>
      </c>
      <c r="B16" s="20" t="s">
        <v>166</v>
      </c>
      <c r="C16" s="20"/>
      <c r="D16" s="17"/>
      <c r="E16" s="17" t="s">
        <v>58</v>
      </c>
      <c r="F16" s="17" t="s">
        <v>59</v>
      </c>
      <c r="G16" s="37">
        <v>45917</v>
      </c>
      <c r="H16" s="37">
        <v>45922</v>
      </c>
      <c r="I16" s="19"/>
      <c r="J16" s="20"/>
      <c r="K16" s="23"/>
      <c r="L16" s="23"/>
    </row>
    <row r="17" spans="1:12">
      <c r="A17" s="12">
        <v>9</v>
      </c>
      <c r="B17" s="20" t="s">
        <v>167</v>
      </c>
      <c r="C17" s="20"/>
      <c r="D17" s="39"/>
      <c r="E17" s="17">
        <v>1</v>
      </c>
      <c r="F17" s="17" t="s">
        <v>57</v>
      </c>
      <c r="G17" s="37">
        <v>45915</v>
      </c>
      <c r="H17" s="37">
        <v>45922</v>
      </c>
      <c r="I17" s="19"/>
      <c r="J17" s="20"/>
      <c r="K17" s="23"/>
      <c r="L17" s="23"/>
    </row>
    <row r="18" spans="1:12">
      <c r="A18" s="12">
        <v>10</v>
      </c>
      <c r="B18" s="20" t="s">
        <v>168</v>
      </c>
      <c r="C18" s="20"/>
      <c r="D18" s="17"/>
      <c r="E18" s="17">
        <v>1</v>
      </c>
      <c r="F18" s="17" t="s">
        <v>60</v>
      </c>
      <c r="G18" s="37">
        <v>45915</v>
      </c>
      <c r="H18" s="37">
        <v>45922</v>
      </c>
      <c r="I18" s="19"/>
      <c r="J18" s="22"/>
      <c r="K18" s="20"/>
      <c r="L18" s="20"/>
    </row>
    <row r="19" spans="1:12">
      <c r="A19" s="12">
        <v>11</v>
      </c>
      <c r="B19" s="20" t="s">
        <v>169</v>
      </c>
      <c r="C19" s="14"/>
      <c r="D19" s="17"/>
      <c r="E19" s="17">
        <v>1</v>
      </c>
      <c r="F19" s="17" t="s">
        <v>60</v>
      </c>
      <c r="G19" s="37">
        <v>45915</v>
      </c>
      <c r="H19" s="37">
        <v>45922</v>
      </c>
      <c r="I19" s="19"/>
      <c r="J19" s="20"/>
      <c r="K19" s="20"/>
      <c r="L19" s="20"/>
    </row>
    <row r="20" spans="1:12">
      <c r="A20" s="12">
        <v>12</v>
      </c>
      <c r="B20" s="20" t="s">
        <v>170</v>
      </c>
      <c r="C20" s="21"/>
      <c r="D20" s="15"/>
      <c r="E20" s="17">
        <v>1</v>
      </c>
      <c r="F20" s="17" t="s">
        <v>60</v>
      </c>
      <c r="G20" s="37">
        <v>45915</v>
      </c>
      <c r="H20" s="37">
        <v>45922</v>
      </c>
      <c r="I20" s="19"/>
      <c r="J20" s="20"/>
      <c r="K20" s="23"/>
      <c r="L20" s="23"/>
    </row>
    <row r="21" spans="1:12">
      <c r="A21" s="12">
        <v>13</v>
      </c>
      <c r="B21" s="20" t="s">
        <v>171</v>
      </c>
      <c r="C21" s="21"/>
      <c r="D21" s="17"/>
      <c r="E21" s="17">
        <v>1</v>
      </c>
      <c r="F21" s="17" t="s">
        <v>60</v>
      </c>
      <c r="G21" s="37">
        <v>45915</v>
      </c>
      <c r="H21" s="37">
        <v>45922</v>
      </c>
      <c r="I21" s="19"/>
      <c r="J21" s="20"/>
      <c r="K21" s="23"/>
      <c r="L21" s="23"/>
    </row>
    <row r="22" spans="1:12">
      <c r="A22" s="12">
        <v>14</v>
      </c>
      <c r="B22" s="20" t="s">
        <v>172</v>
      </c>
      <c r="C22" s="20"/>
      <c r="D22" s="17"/>
      <c r="E22" s="17">
        <v>1</v>
      </c>
      <c r="F22" s="17" t="s">
        <v>60</v>
      </c>
      <c r="G22" s="37">
        <v>45915</v>
      </c>
      <c r="H22" s="37">
        <v>45922</v>
      </c>
      <c r="I22" s="19"/>
      <c r="J22" s="20"/>
      <c r="K22" s="20"/>
      <c r="L22" s="20"/>
    </row>
    <row r="23" spans="1:12">
      <c r="A23" s="12">
        <v>15</v>
      </c>
      <c r="B23" s="20" t="s">
        <v>173</v>
      </c>
      <c r="C23" s="20"/>
      <c r="D23" s="39"/>
      <c r="E23" s="17">
        <v>1</v>
      </c>
      <c r="F23" s="17" t="s">
        <v>60</v>
      </c>
      <c r="G23" s="37">
        <v>45915</v>
      </c>
      <c r="H23" s="37">
        <v>45922</v>
      </c>
      <c r="I23" s="19"/>
      <c r="J23" s="22"/>
      <c r="K23" s="20"/>
      <c r="L23" s="20"/>
    </row>
    <row r="24" spans="1:12">
      <c r="A24" s="12">
        <v>16</v>
      </c>
      <c r="B24" s="20" t="s">
        <v>174</v>
      </c>
      <c r="C24" s="20"/>
      <c r="D24" s="17"/>
      <c r="E24" s="17">
        <v>1</v>
      </c>
      <c r="F24" s="17" t="s">
        <v>76</v>
      </c>
      <c r="G24" s="37">
        <v>45915</v>
      </c>
      <c r="H24" s="37">
        <v>45922</v>
      </c>
      <c r="I24" s="19"/>
      <c r="J24" s="20"/>
      <c r="K24" s="23"/>
      <c r="L24" s="23"/>
    </row>
    <row r="25" spans="1:12">
      <c r="A25" s="12">
        <v>17</v>
      </c>
      <c r="B25" s="20" t="s">
        <v>175</v>
      </c>
      <c r="C25" s="20"/>
      <c r="D25" s="39"/>
      <c r="E25" s="17" t="s">
        <v>97</v>
      </c>
      <c r="F25" s="17" t="s">
        <v>62</v>
      </c>
      <c r="G25" s="37">
        <v>45915</v>
      </c>
      <c r="H25" s="37">
        <v>45922</v>
      </c>
      <c r="I25" s="19"/>
      <c r="J25" s="20"/>
      <c r="K25" s="23"/>
      <c r="L25" s="23"/>
    </row>
    <row r="26" spans="1:12">
      <c r="A26" s="12">
        <v>18</v>
      </c>
      <c r="B26" s="20" t="s">
        <v>176</v>
      </c>
      <c r="C26" s="21"/>
      <c r="D26" s="39"/>
      <c r="E26" s="17">
        <v>1</v>
      </c>
      <c r="F26" s="17" t="s">
        <v>57</v>
      </c>
      <c r="G26" s="37">
        <v>45915</v>
      </c>
      <c r="H26" s="37">
        <v>45922</v>
      </c>
      <c r="I26" s="19"/>
      <c r="J26" s="20"/>
      <c r="K26" s="23"/>
      <c r="L26" s="23"/>
    </row>
    <row r="27" spans="1:12">
      <c r="A27" s="12">
        <v>19</v>
      </c>
      <c r="B27" s="20" t="s">
        <v>177</v>
      </c>
      <c r="C27" s="20"/>
      <c r="D27" s="17"/>
      <c r="E27" s="17">
        <v>1</v>
      </c>
      <c r="F27" s="17" t="s">
        <v>60</v>
      </c>
      <c r="G27" s="37">
        <v>45915</v>
      </c>
      <c r="H27" s="37">
        <v>45922</v>
      </c>
      <c r="I27" s="19"/>
      <c r="J27" s="22"/>
      <c r="K27" s="20"/>
      <c r="L27" s="20"/>
    </row>
    <row r="28" spans="1:12">
      <c r="A28" s="12">
        <v>20</v>
      </c>
      <c r="B28" s="20" t="s">
        <v>178</v>
      </c>
      <c r="C28" s="20"/>
      <c r="D28" s="17"/>
      <c r="E28" s="17" t="s">
        <v>90</v>
      </c>
      <c r="F28" s="17" t="s">
        <v>111</v>
      </c>
      <c r="G28" s="37">
        <v>45915</v>
      </c>
      <c r="H28" s="37">
        <v>45922</v>
      </c>
      <c r="I28" s="19"/>
      <c r="J28" s="20"/>
      <c r="K28" s="23"/>
      <c r="L28" s="23"/>
    </row>
    <row r="29" spans="1:12">
      <c r="A29" s="12">
        <v>21</v>
      </c>
      <c r="B29" s="20" t="s">
        <v>179</v>
      </c>
      <c r="C29" s="20"/>
      <c r="D29" s="39"/>
      <c r="E29" s="17">
        <v>2</v>
      </c>
      <c r="F29" s="17" t="s">
        <v>62</v>
      </c>
      <c r="G29" s="37">
        <v>45915</v>
      </c>
      <c r="H29" s="37">
        <v>45922</v>
      </c>
      <c r="I29" s="19"/>
      <c r="J29" s="20"/>
      <c r="K29" s="23"/>
      <c r="L29" s="23"/>
    </row>
    <row r="30" spans="1:12">
      <c r="A30" s="12">
        <v>22</v>
      </c>
      <c r="B30" s="20" t="s">
        <v>180</v>
      </c>
      <c r="C30" s="20"/>
      <c r="D30" s="17"/>
      <c r="E30" s="17">
        <v>1</v>
      </c>
      <c r="F30" s="17" t="s">
        <v>60</v>
      </c>
      <c r="G30" s="37">
        <v>45915</v>
      </c>
      <c r="H30" s="37">
        <v>45922</v>
      </c>
      <c r="I30" s="19"/>
      <c r="J30" s="22"/>
      <c r="K30" s="20"/>
      <c r="L30" s="20"/>
    </row>
    <row r="31" spans="1:12">
      <c r="A31" s="12">
        <v>23</v>
      </c>
      <c r="B31" s="20" t="s">
        <v>181</v>
      </c>
      <c r="C31" s="20"/>
      <c r="D31" s="17"/>
      <c r="E31" s="17">
        <v>7</v>
      </c>
      <c r="F31" s="17" t="s">
        <v>57</v>
      </c>
      <c r="G31" s="37">
        <v>45915</v>
      </c>
      <c r="H31" s="37">
        <v>45922</v>
      </c>
      <c r="I31" s="19"/>
      <c r="J31" s="20"/>
      <c r="K31" s="23"/>
      <c r="L31" s="23"/>
    </row>
    <row r="32" spans="1:12">
      <c r="A32" s="12">
        <v>24</v>
      </c>
      <c r="B32" s="20" t="s">
        <v>182</v>
      </c>
      <c r="C32" s="21"/>
      <c r="D32" s="17"/>
      <c r="E32" s="17">
        <v>1</v>
      </c>
      <c r="F32" s="17" t="s">
        <v>60</v>
      </c>
      <c r="G32" s="37">
        <v>45915</v>
      </c>
      <c r="H32" s="37">
        <v>45922</v>
      </c>
      <c r="I32" s="19"/>
      <c r="J32" s="22"/>
      <c r="K32" s="20"/>
      <c r="L32" s="20"/>
    </row>
    <row r="33" spans="1:12">
      <c r="A33" s="12">
        <v>25</v>
      </c>
      <c r="B33" s="20" t="s">
        <v>183</v>
      </c>
      <c r="C33" s="20"/>
      <c r="D33" s="17"/>
      <c r="E33" s="17">
        <v>1</v>
      </c>
      <c r="F33" s="17" t="s">
        <v>62</v>
      </c>
      <c r="G33" s="37">
        <v>45915</v>
      </c>
      <c r="H33" s="37">
        <v>45922</v>
      </c>
      <c r="I33" s="19"/>
      <c r="J33" s="20"/>
      <c r="K33" s="20"/>
      <c r="L33" s="20"/>
    </row>
    <row r="34" spans="1:12">
      <c r="A34" s="12">
        <v>26</v>
      </c>
      <c r="B34" s="20" t="s">
        <v>184</v>
      </c>
      <c r="C34" s="20"/>
      <c r="D34" s="39"/>
      <c r="E34" s="17">
        <v>1</v>
      </c>
      <c r="F34" s="17" t="s">
        <v>56</v>
      </c>
      <c r="G34" s="37">
        <v>45915</v>
      </c>
      <c r="H34" s="37">
        <v>45922</v>
      </c>
      <c r="I34" s="19"/>
      <c r="J34" s="22"/>
      <c r="K34" s="20"/>
      <c r="L34" s="20"/>
    </row>
    <row r="35" spans="1:12">
      <c r="A35" s="12">
        <v>27</v>
      </c>
      <c r="B35" s="20" t="s">
        <v>185</v>
      </c>
      <c r="C35" s="20"/>
      <c r="D35" s="39"/>
      <c r="E35" s="17">
        <v>1</v>
      </c>
      <c r="F35" s="17" t="s">
        <v>56</v>
      </c>
      <c r="G35" s="37">
        <v>45915</v>
      </c>
      <c r="H35" s="37">
        <v>45922</v>
      </c>
      <c r="I35" s="19"/>
      <c r="J35" s="20"/>
      <c r="K35" s="20"/>
      <c r="L35" s="20"/>
    </row>
    <row r="36" spans="1:12">
      <c r="A36" s="12">
        <v>28</v>
      </c>
      <c r="B36" s="20" t="s">
        <v>186</v>
      </c>
      <c r="C36" s="20"/>
      <c r="D36" s="17"/>
      <c r="E36" s="17">
        <v>1</v>
      </c>
      <c r="F36" s="17" t="s">
        <v>60</v>
      </c>
      <c r="G36" s="37">
        <v>45915</v>
      </c>
      <c r="H36" s="37">
        <v>45922</v>
      </c>
      <c r="I36" s="19"/>
      <c r="J36" s="20"/>
      <c r="K36" s="20"/>
      <c r="L36" s="20"/>
    </row>
    <row r="37" spans="1:12">
      <c r="A37" s="12">
        <v>29</v>
      </c>
      <c r="B37" s="20" t="s">
        <v>187</v>
      </c>
      <c r="C37" s="20"/>
      <c r="D37" s="57"/>
      <c r="E37" s="17">
        <v>1</v>
      </c>
      <c r="F37" s="17" t="s">
        <v>56</v>
      </c>
      <c r="G37" s="37">
        <v>45915</v>
      </c>
      <c r="H37" s="37">
        <v>45922</v>
      </c>
      <c r="I37" s="19"/>
      <c r="J37" s="20"/>
      <c r="K37" s="20"/>
      <c r="L37" s="20"/>
    </row>
    <row r="38" spans="1:12">
      <c r="A38" s="12">
        <v>30</v>
      </c>
      <c r="B38" s="20" t="s">
        <v>188</v>
      </c>
      <c r="C38" s="20"/>
      <c r="D38" s="17"/>
      <c r="E38" s="17">
        <v>1</v>
      </c>
      <c r="F38" s="17" t="s">
        <v>62</v>
      </c>
      <c r="G38" s="37">
        <v>45915</v>
      </c>
      <c r="H38" s="37">
        <v>45922</v>
      </c>
      <c r="I38" s="19"/>
      <c r="J38" s="22"/>
      <c r="K38" s="20"/>
      <c r="L38" s="20"/>
    </row>
    <row r="39" spans="1:12">
      <c r="A39" s="12">
        <v>31</v>
      </c>
      <c r="B39" s="20" t="s">
        <v>189</v>
      </c>
      <c r="C39" s="20"/>
      <c r="D39" s="17"/>
      <c r="E39" s="17" t="s">
        <v>108</v>
      </c>
      <c r="F39" s="17" t="s">
        <v>62</v>
      </c>
      <c r="G39" s="37">
        <v>45915</v>
      </c>
      <c r="H39" s="37">
        <v>45922</v>
      </c>
      <c r="I39" s="19"/>
      <c r="J39" s="22"/>
      <c r="K39" s="20"/>
      <c r="L39" s="20"/>
    </row>
    <row r="40" spans="1:12">
      <c r="A40" s="12">
        <v>32</v>
      </c>
      <c r="B40" s="20" t="s">
        <v>190</v>
      </c>
      <c r="C40" s="20"/>
      <c r="D40" s="17"/>
      <c r="E40" s="17">
        <v>1</v>
      </c>
      <c r="F40" s="17" t="s">
        <v>60</v>
      </c>
      <c r="G40" s="37">
        <v>45915</v>
      </c>
      <c r="H40" s="37">
        <v>45922</v>
      </c>
      <c r="I40" s="19"/>
      <c r="J40" s="20"/>
      <c r="K40" s="20"/>
      <c r="L40" s="20"/>
    </row>
    <row r="41" spans="1:12">
      <c r="A41" s="12">
        <v>33</v>
      </c>
      <c r="B41" s="20" t="s">
        <v>191</v>
      </c>
      <c r="C41" s="20"/>
      <c r="D41" s="17"/>
      <c r="E41" s="17" t="s">
        <v>58</v>
      </c>
      <c r="F41" s="17" t="s">
        <v>62</v>
      </c>
      <c r="G41" s="37">
        <v>45915</v>
      </c>
      <c r="H41" s="37">
        <v>45922</v>
      </c>
      <c r="I41" s="19"/>
      <c r="J41" s="20"/>
      <c r="K41" s="20"/>
      <c r="L41" s="20"/>
    </row>
    <row r="42" spans="1:12">
      <c r="A42" s="12">
        <v>34</v>
      </c>
      <c r="B42" s="20" t="s">
        <v>192</v>
      </c>
      <c r="C42" s="21"/>
      <c r="D42" s="17"/>
      <c r="E42" s="17">
        <v>1</v>
      </c>
      <c r="F42" s="17" t="s">
        <v>62</v>
      </c>
      <c r="G42" s="37">
        <v>45915</v>
      </c>
      <c r="H42" s="37">
        <v>45922</v>
      </c>
      <c r="I42" s="19"/>
      <c r="J42" s="20"/>
      <c r="K42" s="20"/>
      <c r="L42" s="20"/>
    </row>
    <row r="43" spans="1:12">
      <c r="A43" s="12">
        <v>35</v>
      </c>
      <c r="B43" s="20" t="s">
        <v>193</v>
      </c>
      <c r="C43" s="21"/>
      <c r="D43" s="17"/>
      <c r="E43" s="17">
        <v>2</v>
      </c>
      <c r="F43" s="17" t="s">
        <v>62</v>
      </c>
      <c r="G43" s="37">
        <v>45915</v>
      </c>
      <c r="H43" s="37">
        <v>45922</v>
      </c>
      <c r="I43" s="19"/>
      <c r="J43" s="20"/>
      <c r="K43" s="20"/>
      <c r="L43" s="20"/>
    </row>
    <row r="44" spans="1:12">
      <c r="A44" s="12">
        <v>36</v>
      </c>
      <c r="B44" s="20" t="s">
        <v>194</v>
      </c>
      <c r="C44" s="20"/>
      <c r="D44" s="17"/>
      <c r="E44" s="17" t="s">
        <v>58</v>
      </c>
      <c r="F44" s="17" t="s">
        <v>62</v>
      </c>
      <c r="G44" s="37">
        <v>45915</v>
      </c>
      <c r="H44" s="37">
        <v>45922</v>
      </c>
      <c r="I44" s="19"/>
      <c r="J44" s="20"/>
      <c r="K44" s="20"/>
      <c r="L44" s="20"/>
    </row>
    <row r="45" spans="1:12">
      <c r="A45" s="12">
        <v>37</v>
      </c>
      <c r="B45" s="20" t="s">
        <v>195</v>
      </c>
      <c r="C45" s="20"/>
      <c r="D45" s="17"/>
      <c r="E45" s="17">
        <v>1</v>
      </c>
      <c r="F45" s="17" t="s">
        <v>60</v>
      </c>
      <c r="G45" s="37">
        <v>45915</v>
      </c>
      <c r="H45" s="37">
        <v>45922</v>
      </c>
      <c r="I45" s="19"/>
      <c r="J45" s="22"/>
      <c r="K45" s="20"/>
      <c r="L45" s="20"/>
    </row>
    <row r="46" spans="1:12">
      <c r="A46" s="12">
        <v>38</v>
      </c>
      <c r="B46" s="20" t="s">
        <v>196</v>
      </c>
      <c r="C46" s="20"/>
      <c r="D46" s="17"/>
      <c r="E46" s="17">
        <v>1</v>
      </c>
      <c r="F46" s="17" t="s">
        <v>60</v>
      </c>
      <c r="G46" s="37">
        <v>45915</v>
      </c>
      <c r="H46" s="37">
        <v>45922</v>
      </c>
      <c r="I46" s="19"/>
      <c r="J46" s="22"/>
      <c r="K46" s="20"/>
      <c r="L46" s="20"/>
    </row>
    <row r="47" spans="1:12">
      <c r="A47" s="12">
        <v>39</v>
      </c>
      <c r="B47" s="20" t="s">
        <v>197</v>
      </c>
      <c r="C47" s="20"/>
      <c r="D47" s="17"/>
      <c r="E47" s="17">
        <v>1</v>
      </c>
      <c r="F47" s="17" t="s">
        <v>60</v>
      </c>
      <c r="G47" s="37">
        <v>45917</v>
      </c>
      <c r="H47" s="37">
        <v>45922</v>
      </c>
      <c r="I47" s="19"/>
      <c r="J47" s="20"/>
      <c r="K47" s="20"/>
      <c r="L47" s="20"/>
    </row>
    <row r="48" spans="1:12">
      <c r="A48" s="12">
        <v>40</v>
      </c>
      <c r="B48" s="20" t="s">
        <v>198</v>
      </c>
      <c r="C48" s="20"/>
      <c r="D48" s="17"/>
      <c r="E48" s="17">
        <v>1</v>
      </c>
      <c r="F48" s="17" t="s">
        <v>60</v>
      </c>
      <c r="G48" s="37">
        <v>45915</v>
      </c>
      <c r="H48" s="37">
        <v>45922</v>
      </c>
      <c r="I48" s="19"/>
      <c r="J48" s="20"/>
      <c r="K48" s="20"/>
      <c r="L48" s="20"/>
    </row>
    <row r="49" spans="1:16">
      <c r="A49" s="12">
        <v>41</v>
      </c>
      <c r="B49" s="20" t="s">
        <v>199</v>
      </c>
      <c r="C49" s="20"/>
      <c r="D49" s="17"/>
      <c r="E49" s="17" t="s">
        <v>58</v>
      </c>
      <c r="F49" s="17" t="s">
        <v>59</v>
      </c>
      <c r="G49" s="37">
        <v>45917</v>
      </c>
      <c r="H49" s="37">
        <v>45922</v>
      </c>
      <c r="I49" s="19"/>
      <c r="J49" s="20"/>
      <c r="K49" s="20"/>
      <c r="L49" s="20"/>
    </row>
    <row r="50" spans="1:16">
      <c r="A50" s="12">
        <v>42</v>
      </c>
      <c r="B50" s="20" t="s">
        <v>200</v>
      </c>
      <c r="C50" s="20"/>
      <c r="D50" s="17"/>
      <c r="E50" s="17" t="s">
        <v>108</v>
      </c>
      <c r="F50" s="17" t="s">
        <v>80</v>
      </c>
      <c r="G50" s="37">
        <v>45915</v>
      </c>
      <c r="H50" s="37">
        <v>45922</v>
      </c>
      <c r="I50" s="19"/>
      <c r="J50" s="20"/>
      <c r="K50" s="20"/>
      <c r="L50" s="20"/>
    </row>
    <row r="51" spans="1:16">
      <c r="A51" s="12">
        <v>43</v>
      </c>
      <c r="B51" s="20" t="s">
        <v>201</v>
      </c>
      <c r="C51" s="20"/>
      <c r="D51" s="39"/>
      <c r="E51" s="17">
        <v>1</v>
      </c>
      <c r="F51" s="17" t="s">
        <v>142</v>
      </c>
      <c r="G51" s="37">
        <v>45915</v>
      </c>
      <c r="H51" s="37">
        <v>45922</v>
      </c>
      <c r="I51" s="19"/>
      <c r="J51" s="20"/>
      <c r="K51" s="20"/>
      <c r="L51" s="20"/>
    </row>
    <row r="52" spans="1:16">
      <c r="A52" s="12">
        <v>44</v>
      </c>
      <c r="B52" s="20" t="s">
        <v>202</v>
      </c>
      <c r="C52" s="20"/>
      <c r="D52" s="17"/>
      <c r="E52" s="17">
        <v>1</v>
      </c>
      <c r="F52" s="17" t="s">
        <v>57</v>
      </c>
      <c r="G52" s="37">
        <v>45915</v>
      </c>
      <c r="H52" s="37">
        <v>45922</v>
      </c>
      <c r="I52" s="19"/>
      <c r="J52" s="20"/>
      <c r="K52" s="20"/>
      <c r="L52" s="20"/>
    </row>
    <row r="53" spans="1:16">
      <c r="A53" s="12">
        <v>45</v>
      </c>
      <c r="B53" s="20" t="s">
        <v>203</v>
      </c>
      <c r="C53" s="20"/>
      <c r="D53" s="17"/>
      <c r="E53" s="17" t="s">
        <v>112</v>
      </c>
      <c r="F53" s="17" t="s">
        <v>94</v>
      </c>
      <c r="G53" s="37">
        <v>45915</v>
      </c>
      <c r="H53" s="37">
        <v>45922</v>
      </c>
      <c r="I53" s="19"/>
      <c r="J53" s="22"/>
      <c r="K53" s="20"/>
      <c r="L53" s="20"/>
    </row>
    <row r="54" spans="1:16">
      <c r="A54" s="12">
        <v>46</v>
      </c>
      <c r="B54" s="20" t="s">
        <v>204</v>
      </c>
      <c r="C54" s="20"/>
      <c r="D54" s="39"/>
      <c r="E54" s="17">
        <v>1</v>
      </c>
      <c r="F54" s="17" t="s">
        <v>56</v>
      </c>
      <c r="G54" s="37">
        <v>45915</v>
      </c>
      <c r="H54" s="37">
        <v>45922</v>
      </c>
      <c r="I54" s="19"/>
      <c r="J54" s="20"/>
      <c r="K54" s="20"/>
      <c r="L54" s="20"/>
    </row>
    <row r="55" spans="1:16">
      <c r="A55" s="12">
        <v>47</v>
      </c>
      <c r="B55" s="20" t="s">
        <v>205</v>
      </c>
      <c r="C55" s="20"/>
      <c r="D55" s="17"/>
      <c r="E55" s="17">
        <v>1</v>
      </c>
      <c r="F55" s="17" t="s">
        <v>60</v>
      </c>
      <c r="G55" s="37">
        <v>45915</v>
      </c>
      <c r="H55" s="37">
        <v>45922</v>
      </c>
      <c r="I55" s="19"/>
      <c r="J55" s="20"/>
      <c r="K55" s="20"/>
      <c r="L55" s="20"/>
    </row>
    <row r="56" spans="1:16">
      <c r="A56" s="12">
        <v>48</v>
      </c>
      <c r="B56" s="20" t="s">
        <v>206</v>
      </c>
      <c r="C56" s="20"/>
      <c r="D56" s="17"/>
      <c r="E56" s="17">
        <v>1</v>
      </c>
      <c r="F56" s="17" t="s">
        <v>57</v>
      </c>
      <c r="G56" s="37">
        <v>45915</v>
      </c>
      <c r="H56" s="37">
        <v>45922</v>
      </c>
      <c r="I56" s="19"/>
      <c r="J56" s="20"/>
      <c r="K56" s="20"/>
      <c r="L56" s="20"/>
    </row>
    <row r="57" spans="1:16">
      <c r="A57" s="12">
        <v>49</v>
      </c>
      <c r="B57" s="20" t="s">
        <v>207</v>
      </c>
      <c r="C57" s="20"/>
      <c r="D57" s="17"/>
      <c r="E57" s="17">
        <v>1</v>
      </c>
      <c r="F57" s="17" t="s">
        <v>59</v>
      </c>
      <c r="G57" s="37">
        <v>45915</v>
      </c>
      <c r="H57" s="37">
        <v>45922</v>
      </c>
      <c r="I57" s="19"/>
      <c r="J57" s="20"/>
      <c r="K57" s="20"/>
      <c r="L57" s="20"/>
    </row>
    <row r="58" spans="1:16">
      <c r="A58" s="12">
        <v>50</v>
      </c>
      <c r="B58" s="20" t="s">
        <v>208</v>
      </c>
      <c r="C58" s="20"/>
      <c r="D58" s="39"/>
      <c r="E58" s="17">
        <v>1</v>
      </c>
      <c r="F58" s="17" t="s">
        <v>57</v>
      </c>
      <c r="G58" s="37">
        <v>45915</v>
      </c>
      <c r="H58" s="37">
        <v>45922</v>
      </c>
      <c r="I58" s="19"/>
      <c r="J58" s="22"/>
      <c r="K58" s="20"/>
      <c r="L58" s="20"/>
    </row>
    <row r="59" spans="1:16">
      <c r="A59" s="12">
        <v>51</v>
      </c>
      <c r="B59" s="20" t="s">
        <v>209</v>
      </c>
      <c r="C59" s="20"/>
      <c r="D59" s="17"/>
      <c r="E59" s="17">
        <v>1</v>
      </c>
      <c r="F59" s="17" t="s">
        <v>60</v>
      </c>
      <c r="G59" s="37">
        <v>45915</v>
      </c>
      <c r="H59" s="37">
        <v>45922</v>
      </c>
      <c r="I59" s="19"/>
      <c r="J59" s="22"/>
      <c r="K59" s="20"/>
      <c r="L59" s="20"/>
    </row>
    <row r="60" spans="1:16">
      <c r="A60" s="12">
        <v>52</v>
      </c>
      <c r="B60" s="20" t="s">
        <v>210</v>
      </c>
      <c r="C60" s="20"/>
      <c r="D60" s="17"/>
      <c r="E60" s="17" t="s">
        <v>90</v>
      </c>
      <c r="F60" s="17" t="s">
        <v>59</v>
      </c>
      <c r="G60" s="37">
        <v>45917</v>
      </c>
      <c r="H60" s="37">
        <v>45922</v>
      </c>
      <c r="I60" s="19"/>
      <c r="J60" s="20"/>
      <c r="K60" s="20"/>
      <c r="L60" s="20"/>
    </row>
    <row r="61" spans="1:16">
      <c r="A61" s="12">
        <v>53</v>
      </c>
      <c r="B61" s="20" t="s">
        <v>211</v>
      </c>
      <c r="C61" s="20"/>
      <c r="D61" s="17"/>
      <c r="E61" s="17" t="s">
        <v>58</v>
      </c>
      <c r="F61" s="17" t="s">
        <v>59</v>
      </c>
      <c r="G61" s="37">
        <v>45915</v>
      </c>
      <c r="H61" s="37">
        <v>45922</v>
      </c>
      <c r="I61" s="19"/>
      <c r="J61" s="20"/>
      <c r="K61" s="20"/>
      <c r="L61" s="20"/>
      <c r="P61" t="s">
        <v>81</v>
      </c>
    </row>
  </sheetData>
  <sortState ref="B10:J70">
    <sortCondition ref="B9"/>
  </sortState>
  <mergeCells count="4">
    <mergeCell ref="A1:L1"/>
    <mergeCell ref="A2:L2"/>
    <mergeCell ref="F3:H3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61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89"/>
  <sheetViews>
    <sheetView topLeftCell="A74" zoomScale="98" zoomScaleNormal="45" workbookViewId="0">
      <selection activeCell="F95" sqref="F95"/>
    </sheetView>
  </sheetViews>
  <sheetFormatPr defaultColWidth="10" defaultRowHeight="13.8"/>
  <cols>
    <col min="1" max="1" width="7.09765625" customWidth="1"/>
    <col min="2" max="2" width="21.3984375" bestFit="1" customWidth="1"/>
    <col min="3" max="3" width="10.8984375" customWidth="1"/>
    <col min="5" max="5" width="12.796875" customWidth="1"/>
    <col min="6" max="6" width="12.09765625" customWidth="1"/>
  </cols>
  <sheetData>
    <row r="1" spans="1:15" ht="22.2">
      <c r="A1" s="58">
        <v>45923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5">
      <c r="A2" s="59" t="s">
        <v>0</v>
      </c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5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63"/>
      <c r="L3" s="63"/>
    </row>
    <row r="4" spans="1:15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63"/>
      <c r="L4" s="63"/>
    </row>
    <row r="5" spans="1:15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63"/>
      <c r="L5" s="63"/>
    </row>
    <row r="6" spans="1:15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63"/>
      <c r="L6" s="63"/>
    </row>
    <row r="7" spans="1:15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63"/>
      <c r="L7" s="63"/>
    </row>
    <row r="8" spans="1:15" ht="41.4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5">
      <c r="A9" s="12">
        <v>1</v>
      </c>
      <c r="B9" s="12" t="s">
        <v>159</v>
      </c>
      <c r="C9" s="21"/>
      <c r="D9" s="17"/>
      <c r="E9" s="17">
        <v>1</v>
      </c>
      <c r="F9" s="17" t="s">
        <v>60</v>
      </c>
      <c r="G9" s="37">
        <v>45916</v>
      </c>
      <c r="H9" s="37">
        <v>45923</v>
      </c>
      <c r="I9" s="19"/>
      <c r="J9" s="20"/>
      <c r="K9" s="20"/>
      <c r="L9" s="20"/>
    </row>
    <row r="10" spans="1:15">
      <c r="A10" s="12">
        <v>2</v>
      </c>
      <c r="B10" s="12" t="s">
        <v>160</v>
      </c>
      <c r="C10" s="20"/>
      <c r="D10" s="20"/>
      <c r="E10" s="17">
        <v>1</v>
      </c>
      <c r="F10" s="17" t="s">
        <v>60</v>
      </c>
      <c r="G10" s="37">
        <v>45916</v>
      </c>
      <c r="H10" s="37">
        <v>45923</v>
      </c>
      <c r="I10" s="19"/>
      <c r="J10" s="22"/>
      <c r="K10" s="23"/>
      <c r="L10" s="23"/>
    </row>
    <row r="11" spans="1:15">
      <c r="A11" s="12">
        <v>3</v>
      </c>
      <c r="B11" s="12" t="s">
        <v>161</v>
      </c>
      <c r="C11" s="20"/>
      <c r="D11" s="20"/>
      <c r="E11" s="17" t="s">
        <v>58</v>
      </c>
      <c r="F11" s="17" t="s">
        <v>59</v>
      </c>
      <c r="G11" s="37">
        <v>45916</v>
      </c>
      <c r="H11" s="37">
        <v>45923</v>
      </c>
      <c r="I11" s="19"/>
      <c r="J11" s="20"/>
      <c r="K11" s="20"/>
      <c r="L11" s="20"/>
    </row>
    <row r="12" spans="1:15">
      <c r="A12" s="12">
        <v>4</v>
      </c>
      <c r="B12" s="12" t="s">
        <v>162</v>
      </c>
      <c r="C12" s="20"/>
      <c r="D12" s="20"/>
      <c r="E12" s="17">
        <v>1</v>
      </c>
      <c r="F12" s="17" t="s">
        <v>60</v>
      </c>
      <c r="G12" s="37">
        <v>45916</v>
      </c>
      <c r="H12" s="37">
        <v>45923</v>
      </c>
      <c r="I12" s="19"/>
      <c r="J12" s="20"/>
      <c r="K12" s="20"/>
      <c r="L12" s="20"/>
    </row>
    <row r="13" spans="1:15">
      <c r="A13" s="12">
        <v>5</v>
      </c>
      <c r="B13" s="12" t="s">
        <v>163</v>
      </c>
      <c r="C13" s="14"/>
      <c r="D13" s="17"/>
      <c r="E13" s="17">
        <v>1</v>
      </c>
      <c r="F13" s="17" t="s">
        <v>60</v>
      </c>
      <c r="G13" s="37">
        <v>45916</v>
      </c>
      <c r="H13" s="37">
        <v>45923</v>
      </c>
      <c r="I13" s="19"/>
      <c r="J13" s="22"/>
      <c r="K13" s="23"/>
      <c r="L13" s="23"/>
    </row>
    <row r="14" spans="1:15">
      <c r="A14" s="12">
        <v>6</v>
      </c>
      <c r="B14" s="12" t="s">
        <v>164</v>
      </c>
      <c r="C14" s="20"/>
      <c r="D14" s="20"/>
      <c r="E14" s="17">
        <v>1</v>
      </c>
      <c r="F14" s="17" t="s">
        <v>137</v>
      </c>
      <c r="G14" s="37">
        <v>45916</v>
      </c>
      <c r="H14" s="37">
        <v>45923</v>
      </c>
      <c r="I14" s="19"/>
      <c r="J14" s="22"/>
      <c r="K14" s="23"/>
      <c r="L14" s="23"/>
      <c r="O14" t="s">
        <v>144</v>
      </c>
    </row>
    <row r="15" spans="1:15">
      <c r="A15" s="12">
        <v>7</v>
      </c>
      <c r="B15" s="12" t="s">
        <v>165</v>
      </c>
      <c r="C15" s="21"/>
      <c r="D15" s="17"/>
      <c r="E15" s="17">
        <v>1</v>
      </c>
      <c r="F15" s="17" t="s">
        <v>60</v>
      </c>
      <c r="G15" s="37">
        <v>45916</v>
      </c>
      <c r="H15" s="37">
        <v>45923</v>
      </c>
      <c r="I15" s="19"/>
      <c r="J15" s="20"/>
      <c r="K15" s="20"/>
      <c r="L15" s="20"/>
    </row>
    <row r="16" spans="1:15">
      <c r="A16" s="12">
        <v>8</v>
      </c>
      <c r="B16" s="12" t="s">
        <v>166</v>
      </c>
      <c r="C16" s="20"/>
      <c r="D16" s="20"/>
      <c r="E16" s="17">
        <v>1</v>
      </c>
      <c r="F16" s="17" t="s">
        <v>56</v>
      </c>
      <c r="G16" s="37">
        <v>45916</v>
      </c>
      <c r="H16" s="37">
        <v>45923</v>
      </c>
      <c r="I16" s="19"/>
      <c r="J16" s="22"/>
      <c r="K16" s="23"/>
      <c r="L16" s="23"/>
    </row>
    <row r="17" spans="1:12">
      <c r="A17" s="12">
        <v>9</v>
      </c>
      <c r="B17" s="12" t="s">
        <v>167</v>
      </c>
      <c r="C17" s="20"/>
      <c r="D17" s="20"/>
      <c r="E17" s="17">
        <v>1</v>
      </c>
      <c r="F17" s="17" t="s">
        <v>60</v>
      </c>
      <c r="G17" s="37">
        <v>45916</v>
      </c>
      <c r="H17" s="37">
        <v>45923</v>
      </c>
      <c r="I17" s="19"/>
      <c r="J17" s="22"/>
      <c r="K17" s="23"/>
      <c r="L17" s="23"/>
    </row>
    <row r="18" spans="1:12">
      <c r="A18" s="12">
        <v>10</v>
      </c>
      <c r="B18" s="12" t="s">
        <v>168</v>
      </c>
      <c r="C18" s="20"/>
      <c r="D18" s="20"/>
      <c r="E18" s="17">
        <v>1</v>
      </c>
      <c r="F18" s="17" t="s">
        <v>143</v>
      </c>
      <c r="G18" s="37">
        <v>45916</v>
      </c>
      <c r="H18" s="37">
        <v>45923</v>
      </c>
      <c r="I18" s="19"/>
      <c r="J18" s="20"/>
      <c r="K18" s="20"/>
      <c r="L18" s="20"/>
    </row>
    <row r="19" spans="1:12">
      <c r="A19" s="12">
        <v>11</v>
      </c>
      <c r="B19" s="12" t="s">
        <v>169</v>
      </c>
      <c r="C19" s="20"/>
      <c r="D19" s="20"/>
      <c r="E19" s="16">
        <v>1</v>
      </c>
      <c r="F19" s="17" t="s">
        <v>62</v>
      </c>
      <c r="G19" s="37">
        <v>45916</v>
      </c>
      <c r="H19" s="37">
        <v>45923</v>
      </c>
      <c r="I19" s="19"/>
      <c r="J19" s="20"/>
      <c r="K19" s="20"/>
      <c r="L19" s="20"/>
    </row>
    <row r="20" spans="1:12">
      <c r="A20" s="12">
        <v>12</v>
      </c>
      <c r="B20" s="12" t="s">
        <v>170</v>
      </c>
      <c r="C20" s="20"/>
      <c r="D20" s="20"/>
      <c r="E20" s="16">
        <v>2</v>
      </c>
      <c r="F20" s="17" t="s">
        <v>62</v>
      </c>
      <c r="G20" s="37">
        <v>45916</v>
      </c>
      <c r="H20" s="37">
        <v>45923</v>
      </c>
      <c r="I20" s="19"/>
      <c r="J20" s="20"/>
      <c r="K20" s="23"/>
      <c r="L20" s="23"/>
    </row>
    <row r="21" spans="1:12">
      <c r="A21" s="12">
        <v>13</v>
      </c>
      <c r="B21" s="12" t="s">
        <v>171</v>
      </c>
      <c r="C21" s="20"/>
      <c r="D21" s="20"/>
      <c r="E21" s="17" t="s">
        <v>58</v>
      </c>
      <c r="F21" s="17" t="s">
        <v>59</v>
      </c>
      <c r="G21" s="37">
        <v>45916</v>
      </c>
      <c r="H21" s="37">
        <v>45923</v>
      </c>
      <c r="I21" s="19"/>
      <c r="J21" s="22"/>
      <c r="K21" s="23"/>
      <c r="L21" s="23"/>
    </row>
    <row r="22" spans="1:12">
      <c r="A22" s="12">
        <v>14</v>
      </c>
      <c r="B22" s="12" t="s">
        <v>172</v>
      </c>
      <c r="C22" s="21"/>
      <c r="D22" s="17"/>
      <c r="E22" s="17">
        <v>1</v>
      </c>
      <c r="F22" s="17" t="s">
        <v>62</v>
      </c>
      <c r="G22" s="37">
        <v>45916</v>
      </c>
      <c r="H22" s="37">
        <v>45923</v>
      </c>
      <c r="I22" s="19"/>
      <c r="J22" s="22"/>
      <c r="K22" s="20"/>
      <c r="L22" s="20"/>
    </row>
    <row r="23" spans="1:12">
      <c r="A23" s="12">
        <v>15</v>
      </c>
      <c r="B23" s="12" t="s">
        <v>173</v>
      </c>
      <c r="C23" s="21"/>
      <c r="D23" s="17"/>
      <c r="E23" s="17">
        <v>2</v>
      </c>
      <c r="F23" s="17" t="s">
        <v>62</v>
      </c>
      <c r="G23" s="37">
        <v>45916</v>
      </c>
      <c r="H23" s="37">
        <v>45923</v>
      </c>
      <c r="I23" s="19"/>
      <c r="J23" s="22"/>
      <c r="K23" s="20"/>
      <c r="L23" s="20"/>
    </row>
    <row r="24" spans="1:12">
      <c r="A24" s="12">
        <v>16</v>
      </c>
      <c r="B24" s="12" t="s">
        <v>174</v>
      </c>
      <c r="C24" s="20"/>
      <c r="D24" s="20"/>
      <c r="E24" s="17">
        <v>1</v>
      </c>
      <c r="F24" s="17" t="s">
        <v>60</v>
      </c>
      <c r="G24" s="37">
        <v>45916</v>
      </c>
      <c r="H24" s="37">
        <v>45923</v>
      </c>
      <c r="I24" s="19"/>
      <c r="J24" s="20"/>
      <c r="K24" s="23"/>
      <c r="L24" s="23"/>
    </row>
    <row r="25" spans="1:12">
      <c r="A25" s="12">
        <v>17</v>
      </c>
      <c r="B25" s="12" t="s">
        <v>175</v>
      </c>
      <c r="C25" s="14"/>
      <c r="D25" s="15"/>
      <c r="E25" s="17">
        <v>1</v>
      </c>
      <c r="F25" s="17" t="s">
        <v>60</v>
      </c>
      <c r="G25" s="37">
        <v>45916</v>
      </c>
      <c r="H25" s="37">
        <v>45923</v>
      </c>
      <c r="I25" s="19"/>
      <c r="J25" s="20"/>
      <c r="K25" s="23"/>
      <c r="L25" s="23"/>
    </row>
    <row r="26" spans="1:12">
      <c r="A26" s="12">
        <v>18</v>
      </c>
      <c r="B26" s="12" t="s">
        <v>176</v>
      </c>
      <c r="C26" s="20"/>
      <c r="D26" s="20"/>
      <c r="E26" s="17" t="s">
        <v>77</v>
      </c>
      <c r="F26" s="17"/>
      <c r="G26" s="37">
        <v>45916</v>
      </c>
      <c r="H26" s="37">
        <v>45923</v>
      </c>
      <c r="I26" s="19"/>
      <c r="J26" s="20"/>
      <c r="K26" s="23"/>
      <c r="L26" s="23"/>
    </row>
    <row r="27" spans="1:12">
      <c r="A27" s="12">
        <v>19</v>
      </c>
      <c r="B27" s="12" t="s">
        <v>177</v>
      </c>
      <c r="C27" s="20"/>
      <c r="D27" s="39"/>
      <c r="E27" s="17" t="s">
        <v>58</v>
      </c>
      <c r="F27" s="17" t="s">
        <v>111</v>
      </c>
      <c r="G27" s="37">
        <v>45916</v>
      </c>
      <c r="H27" s="37">
        <v>45923</v>
      </c>
      <c r="I27" s="19"/>
      <c r="J27" s="22"/>
      <c r="K27" s="20"/>
      <c r="L27" s="20"/>
    </row>
    <row r="28" spans="1:12">
      <c r="A28" s="12">
        <v>20</v>
      </c>
      <c r="B28" s="12" t="s">
        <v>178</v>
      </c>
      <c r="C28" s="20"/>
      <c r="D28" s="20"/>
      <c r="E28" s="17">
        <v>1</v>
      </c>
      <c r="F28" s="17" t="s">
        <v>60</v>
      </c>
      <c r="G28" s="37">
        <v>45916</v>
      </c>
      <c r="H28" s="37">
        <v>45923</v>
      </c>
      <c r="I28" s="19"/>
      <c r="J28" s="22"/>
      <c r="K28" s="23"/>
      <c r="L28" s="23"/>
    </row>
    <row r="29" spans="1:12">
      <c r="A29" s="12">
        <v>21</v>
      </c>
      <c r="B29" s="12" t="s">
        <v>179</v>
      </c>
      <c r="C29" s="20"/>
      <c r="D29" s="20"/>
      <c r="E29" s="17" t="s">
        <v>77</v>
      </c>
      <c r="F29" s="17" t="s">
        <v>57</v>
      </c>
      <c r="G29" s="37">
        <v>45916</v>
      </c>
      <c r="H29" s="37">
        <v>45923</v>
      </c>
      <c r="I29" s="19"/>
      <c r="J29" s="22"/>
      <c r="K29" s="23"/>
      <c r="L29" s="23"/>
    </row>
    <row r="30" spans="1:12">
      <c r="A30" s="12">
        <v>22</v>
      </c>
      <c r="B30" s="12" t="s">
        <v>180</v>
      </c>
      <c r="C30" s="20"/>
      <c r="D30" s="20"/>
      <c r="E30" s="17">
        <v>1</v>
      </c>
      <c r="F30" s="17" t="s">
        <v>57</v>
      </c>
      <c r="G30" s="37">
        <v>45916</v>
      </c>
      <c r="H30" s="37">
        <v>45923</v>
      </c>
      <c r="I30" s="19"/>
      <c r="J30" s="20"/>
      <c r="K30" s="20"/>
      <c r="L30" s="20"/>
    </row>
    <row r="31" spans="1:12">
      <c r="A31" s="12">
        <v>23</v>
      </c>
      <c r="B31" s="12" t="s">
        <v>181</v>
      </c>
      <c r="C31" s="20"/>
      <c r="D31" s="20"/>
      <c r="E31" s="16">
        <v>1</v>
      </c>
      <c r="F31" s="17" t="s">
        <v>56</v>
      </c>
      <c r="G31" s="37">
        <v>45916</v>
      </c>
      <c r="H31" s="37">
        <v>45923</v>
      </c>
      <c r="I31" s="19"/>
      <c r="J31" s="22"/>
      <c r="K31" s="23"/>
      <c r="L31" s="23"/>
    </row>
    <row r="32" spans="1:12">
      <c r="A32" s="12">
        <v>24</v>
      </c>
      <c r="B32" s="12" t="s">
        <v>182</v>
      </c>
      <c r="C32" s="20"/>
      <c r="D32" s="20"/>
      <c r="E32" s="17">
        <v>3</v>
      </c>
      <c r="F32" s="17" t="s">
        <v>57</v>
      </c>
      <c r="G32" s="37">
        <v>45916</v>
      </c>
      <c r="H32" s="37">
        <v>45923</v>
      </c>
      <c r="I32" s="19"/>
      <c r="J32" s="22"/>
      <c r="K32" s="20"/>
      <c r="L32" s="20"/>
    </row>
    <row r="33" spans="1:12">
      <c r="A33" s="12">
        <v>25</v>
      </c>
      <c r="B33" s="12" t="s">
        <v>183</v>
      </c>
      <c r="C33" s="20"/>
      <c r="D33" s="20"/>
      <c r="E33" s="17">
        <v>1</v>
      </c>
      <c r="F33" s="17" t="s">
        <v>57</v>
      </c>
      <c r="G33" s="37">
        <v>45916</v>
      </c>
      <c r="H33" s="37">
        <v>45923</v>
      </c>
      <c r="I33" s="19"/>
      <c r="J33" s="20"/>
      <c r="K33" s="20"/>
      <c r="L33" s="20"/>
    </row>
    <row r="34" spans="1:12">
      <c r="A34" s="12">
        <v>26</v>
      </c>
      <c r="B34" s="12" t="s">
        <v>184</v>
      </c>
      <c r="C34" s="20"/>
      <c r="D34" s="20"/>
      <c r="E34" s="17">
        <v>3</v>
      </c>
      <c r="F34" s="17" t="s">
        <v>57</v>
      </c>
      <c r="G34" s="37">
        <v>45916</v>
      </c>
      <c r="H34" s="37">
        <v>45923</v>
      </c>
      <c r="I34" s="19"/>
      <c r="J34" s="22"/>
      <c r="K34" s="20"/>
      <c r="L34" s="20"/>
    </row>
    <row r="35" spans="1:12">
      <c r="A35" s="12">
        <v>27</v>
      </c>
      <c r="B35" s="12" t="s">
        <v>185</v>
      </c>
      <c r="C35" s="14"/>
      <c r="D35" s="17"/>
      <c r="E35" s="17">
        <v>2</v>
      </c>
      <c r="F35" s="17" t="s">
        <v>62</v>
      </c>
      <c r="G35" s="37">
        <v>45916</v>
      </c>
      <c r="H35" s="37">
        <v>45923</v>
      </c>
      <c r="I35" s="19"/>
      <c r="J35" s="20"/>
      <c r="K35" s="20"/>
      <c r="L35" s="20"/>
    </row>
    <row r="36" spans="1:12">
      <c r="A36" s="12">
        <v>28</v>
      </c>
      <c r="B36" s="12" t="s">
        <v>186</v>
      </c>
      <c r="C36" s="20"/>
      <c r="D36" s="20"/>
      <c r="E36" s="17">
        <v>1</v>
      </c>
      <c r="F36" s="17" t="s">
        <v>60</v>
      </c>
      <c r="G36" s="37">
        <v>45916</v>
      </c>
      <c r="H36" s="37">
        <v>45923</v>
      </c>
      <c r="I36" s="19"/>
      <c r="J36" s="20"/>
      <c r="K36" s="20"/>
      <c r="L36" s="20"/>
    </row>
    <row r="37" spans="1:12">
      <c r="A37" s="12">
        <v>29</v>
      </c>
      <c r="B37" s="12" t="s">
        <v>187</v>
      </c>
      <c r="C37" s="20"/>
      <c r="D37" s="20"/>
      <c r="E37" s="17">
        <v>1</v>
      </c>
      <c r="F37" s="17" t="s">
        <v>60</v>
      </c>
      <c r="G37" s="37">
        <v>45916</v>
      </c>
      <c r="H37" s="37">
        <v>45923</v>
      </c>
      <c r="I37" s="19"/>
      <c r="J37" s="20"/>
      <c r="K37" s="20"/>
      <c r="L37" s="20"/>
    </row>
    <row r="38" spans="1:12">
      <c r="A38" s="12">
        <v>30</v>
      </c>
      <c r="B38" s="12" t="s">
        <v>188</v>
      </c>
      <c r="C38" s="20"/>
      <c r="D38" s="20"/>
      <c r="E38" s="17">
        <v>1</v>
      </c>
      <c r="F38" s="17" t="s">
        <v>60</v>
      </c>
      <c r="G38" s="37">
        <v>45916</v>
      </c>
      <c r="H38" s="37">
        <v>45923</v>
      </c>
      <c r="I38" s="19"/>
      <c r="J38" s="20"/>
      <c r="K38" s="20"/>
      <c r="L38" s="20"/>
    </row>
    <row r="39" spans="1:12">
      <c r="A39" s="12">
        <v>31</v>
      </c>
      <c r="B39" s="12" t="s">
        <v>189</v>
      </c>
      <c r="C39" s="20"/>
      <c r="D39" s="20"/>
      <c r="E39" s="17">
        <v>1</v>
      </c>
      <c r="F39" s="17" t="s">
        <v>60</v>
      </c>
      <c r="G39" s="37">
        <v>45916</v>
      </c>
      <c r="H39" s="37">
        <v>45923</v>
      </c>
      <c r="I39" s="19"/>
      <c r="J39" s="20"/>
      <c r="K39" s="20"/>
      <c r="L39" s="20"/>
    </row>
    <row r="40" spans="1:12">
      <c r="A40" s="12">
        <v>32</v>
      </c>
      <c r="B40" s="12" t="s">
        <v>190</v>
      </c>
      <c r="C40" s="21"/>
      <c r="D40" s="17"/>
      <c r="E40" s="16">
        <v>1</v>
      </c>
      <c r="F40" s="17" t="s">
        <v>62</v>
      </c>
      <c r="G40" s="37">
        <v>45916</v>
      </c>
      <c r="H40" s="37">
        <v>45923</v>
      </c>
      <c r="I40" s="19"/>
      <c r="J40" s="20"/>
      <c r="K40" s="20"/>
      <c r="L40" s="20"/>
    </row>
    <row r="41" spans="1:12">
      <c r="A41" s="12">
        <v>33</v>
      </c>
      <c r="B41" s="12" t="s">
        <v>191</v>
      </c>
      <c r="C41" s="21"/>
      <c r="D41" s="17"/>
      <c r="E41" s="16">
        <v>2</v>
      </c>
      <c r="F41" s="17" t="s">
        <v>62</v>
      </c>
      <c r="G41" s="37">
        <v>45916</v>
      </c>
      <c r="H41" s="37">
        <v>45923</v>
      </c>
      <c r="I41" s="19"/>
      <c r="J41" s="20"/>
      <c r="K41" s="20"/>
      <c r="L41" s="20"/>
    </row>
    <row r="42" spans="1:12">
      <c r="A42" s="12">
        <v>34</v>
      </c>
      <c r="B42" s="12" t="s">
        <v>192</v>
      </c>
      <c r="C42" s="20"/>
      <c r="D42" s="20"/>
      <c r="E42" s="17" t="s">
        <v>58</v>
      </c>
      <c r="F42" s="17" t="s">
        <v>62</v>
      </c>
      <c r="G42" s="37">
        <v>45916</v>
      </c>
      <c r="H42" s="37">
        <v>45923</v>
      </c>
      <c r="I42" s="19"/>
      <c r="J42" s="20"/>
      <c r="K42" s="20"/>
      <c r="L42" s="20"/>
    </row>
    <row r="43" spans="1:12">
      <c r="A43" s="12">
        <v>35</v>
      </c>
      <c r="B43" s="12" t="s">
        <v>193</v>
      </c>
      <c r="C43" s="21"/>
      <c r="D43" s="17"/>
      <c r="E43" s="17">
        <v>1</v>
      </c>
      <c r="F43" s="17" t="s">
        <v>60</v>
      </c>
      <c r="G43" s="37">
        <v>45916</v>
      </c>
      <c r="H43" s="37">
        <v>45923</v>
      </c>
      <c r="I43" s="19"/>
      <c r="J43" s="20"/>
      <c r="K43" s="20"/>
      <c r="L43" s="20"/>
    </row>
    <row r="44" spans="1:12">
      <c r="A44" s="12">
        <v>36</v>
      </c>
      <c r="B44" s="12" t="s">
        <v>194</v>
      </c>
      <c r="C44" s="20"/>
      <c r="D44" s="20"/>
      <c r="E44" s="17">
        <v>1</v>
      </c>
      <c r="F44" s="17" t="s">
        <v>60</v>
      </c>
      <c r="G44" s="37">
        <v>45916</v>
      </c>
      <c r="H44" s="37">
        <v>45923</v>
      </c>
      <c r="I44" s="19"/>
      <c r="J44" s="20"/>
      <c r="K44" s="20"/>
      <c r="L44" s="20"/>
    </row>
    <row r="45" spans="1:12">
      <c r="A45" s="12">
        <v>37</v>
      </c>
      <c r="B45" s="12" t="s">
        <v>195</v>
      </c>
      <c r="C45" s="20"/>
      <c r="D45" s="20"/>
      <c r="E45" s="17">
        <v>3</v>
      </c>
      <c r="F45" s="17" t="s">
        <v>57</v>
      </c>
      <c r="G45" s="37">
        <v>45916</v>
      </c>
      <c r="H45" s="37">
        <v>45923</v>
      </c>
      <c r="I45" s="19"/>
      <c r="J45" s="20"/>
      <c r="K45" s="20"/>
      <c r="L45" s="20"/>
    </row>
    <row r="46" spans="1:12">
      <c r="A46" s="12">
        <v>38</v>
      </c>
      <c r="B46" s="12" t="s">
        <v>196</v>
      </c>
      <c r="C46" s="20"/>
      <c r="D46" s="20"/>
      <c r="E46" s="17">
        <v>2</v>
      </c>
      <c r="F46" s="17" t="s">
        <v>83</v>
      </c>
      <c r="G46" s="37">
        <v>45916</v>
      </c>
      <c r="H46" s="37">
        <v>45923</v>
      </c>
      <c r="I46" s="19"/>
      <c r="J46" s="20"/>
      <c r="K46" s="20"/>
      <c r="L46" s="20"/>
    </row>
    <row r="47" spans="1:12">
      <c r="A47" s="12">
        <v>39</v>
      </c>
      <c r="B47" s="12" t="s">
        <v>197</v>
      </c>
      <c r="C47" s="20"/>
      <c r="D47" s="39"/>
      <c r="E47" s="17" t="s">
        <v>91</v>
      </c>
      <c r="F47" s="17" t="s">
        <v>83</v>
      </c>
      <c r="G47" s="37">
        <v>45916</v>
      </c>
      <c r="H47" s="37">
        <v>45923</v>
      </c>
      <c r="I47" s="19"/>
      <c r="J47" s="20"/>
      <c r="K47" s="20"/>
      <c r="L47" s="20"/>
    </row>
    <row r="48" spans="1:12">
      <c r="A48" s="12">
        <v>40</v>
      </c>
      <c r="B48" s="12" t="s">
        <v>198</v>
      </c>
      <c r="C48" s="21"/>
      <c r="D48" s="17"/>
      <c r="E48" s="17">
        <v>1</v>
      </c>
      <c r="F48" s="17" t="s">
        <v>60</v>
      </c>
      <c r="G48" s="37">
        <v>45916</v>
      </c>
      <c r="H48" s="37">
        <v>45923</v>
      </c>
      <c r="I48" s="19"/>
      <c r="J48" s="20"/>
      <c r="K48" s="20"/>
      <c r="L48" s="20"/>
    </row>
    <row r="49" spans="1:12">
      <c r="A49" s="12">
        <v>41</v>
      </c>
      <c r="B49" s="12" t="s">
        <v>199</v>
      </c>
      <c r="C49" s="20"/>
      <c r="D49" s="20"/>
      <c r="E49" s="17">
        <v>1</v>
      </c>
      <c r="F49" s="17" t="s">
        <v>60</v>
      </c>
      <c r="G49" s="37">
        <v>45916</v>
      </c>
      <c r="H49" s="37">
        <v>45923</v>
      </c>
      <c r="I49" s="19"/>
      <c r="J49" s="20"/>
      <c r="K49" s="20"/>
      <c r="L49" s="20"/>
    </row>
    <row r="50" spans="1:12">
      <c r="A50" s="12">
        <v>42</v>
      </c>
      <c r="B50" s="12" t="s">
        <v>200</v>
      </c>
      <c r="C50" s="20"/>
      <c r="D50" s="20"/>
      <c r="E50" s="17">
        <v>1</v>
      </c>
      <c r="F50" s="17" t="s">
        <v>60</v>
      </c>
      <c r="G50" s="37">
        <v>45916</v>
      </c>
      <c r="H50" s="37">
        <v>45923</v>
      </c>
      <c r="I50" s="19"/>
      <c r="J50" s="20"/>
      <c r="K50" s="20"/>
      <c r="L50" s="20"/>
    </row>
    <row r="51" spans="1:12">
      <c r="A51" s="12">
        <v>43</v>
      </c>
      <c r="B51" s="12" t="s">
        <v>201</v>
      </c>
      <c r="C51" s="20"/>
      <c r="D51" s="20"/>
      <c r="E51" s="17">
        <v>1</v>
      </c>
      <c r="F51" s="17" t="s">
        <v>60</v>
      </c>
      <c r="G51" s="37">
        <v>45916</v>
      </c>
      <c r="H51" s="37">
        <v>45923</v>
      </c>
      <c r="I51" s="19"/>
      <c r="J51" s="20"/>
      <c r="K51" s="20"/>
      <c r="L51" s="20"/>
    </row>
    <row r="52" spans="1:12">
      <c r="A52" s="12">
        <v>44</v>
      </c>
      <c r="B52" s="12" t="s">
        <v>202</v>
      </c>
      <c r="C52" s="14"/>
      <c r="D52" s="15"/>
      <c r="E52" s="17">
        <v>1</v>
      </c>
      <c r="F52" s="17" t="s">
        <v>62</v>
      </c>
      <c r="G52" s="37">
        <v>45916</v>
      </c>
      <c r="H52" s="37">
        <v>45923</v>
      </c>
      <c r="I52" s="19"/>
      <c r="J52" s="20"/>
      <c r="K52" s="20"/>
      <c r="L52" s="20"/>
    </row>
    <row r="53" spans="1:12">
      <c r="A53" s="12">
        <v>45</v>
      </c>
      <c r="B53" s="12" t="s">
        <v>203</v>
      </c>
      <c r="C53" s="20"/>
      <c r="D53" s="20"/>
      <c r="E53" s="17">
        <v>1</v>
      </c>
      <c r="F53" s="17" t="s">
        <v>60</v>
      </c>
      <c r="G53" s="37">
        <v>45916</v>
      </c>
      <c r="H53" s="37">
        <v>45923</v>
      </c>
      <c r="I53" s="19"/>
      <c r="J53" s="20"/>
      <c r="K53" s="20"/>
      <c r="L53" s="20"/>
    </row>
    <row r="54" spans="1:12">
      <c r="A54" s="12">
        <v>46</v>
      </c>
      <c r="B54" s="12" t="s">
        <v>204</v>
      </c>
      <c r="C54" s="20"/>
      <c r="D54" s="20"/>
      <c r="E54" s="17">
        <v>1</v>
      </c>
      <c r="F54" s="17" t="s">
        <v>57</v>
      </c>
      <c r="G54" s="37">
        <v>45916</v>
      </c>
      <c r="H54" s="37">
        <v>45923</v>
      </c>
      <c r="I54" s="19"/>
      <c r="J54" s="20"/>
      <c r="K54" s="20"/>
      <c r="L54" s="20"/>
    </row>
    <row r="55" spans="1:12">
      <c r="A55" s="12">
        <v>47</v>
      </c>
      <c r="B55" s="12" t="s">
        <v>205</v>
      </c>
      <c r="C55" s="21"/>
      <c r="D55" s="17"/>
      <c r="E55" s="17">
        <v>1</v>
      </c>
      <c r="F55" s="17" t="s">
        <v>60</v>
      </c>
      <c r="G55" s="37">
        <v>45916</v>
      </c>
      <c r="H55" s="37">
        <v>45923</v>
      </c>
      <c r="I55" s="19"/>
      <c r="J55" s="20"/>
      <c r="K55" s="20"/>
      <c r="L55" s="20"/>
    </row>
    <row r="56" spans="1:12">
      <c r="A56" s="12">
        <v>48</v>
      </c>
      <c r="B56" s="12" t="s">
        <v>206</v>
      </c>
      <c r="C56" s="20"/>
      <c r="D56" s="20"/>
      <c r="E56" s="17">
        <v>1</v>
      </c>
      <c r="F56" s="17" t="s">
        <v>57</v>
      </c>
      <c r="G56" s="37">
        <v>45916</v>
      </c>
      <c r="H56" s="37">
        <v>45923</v>
      </c>
      <c r="I56" s="19"/>
      <c r="J56" s="20"/>
      <c r="K56" s="20"/>
      <c r="L56" s="20"/>
    </row>
    <row r="57" spans="1:12">
      <c r="A57" s="12">
        <v>49</v>
      </c>
      <c r="B57" s="12" t="s">
        <v>207</v>
      </c>
      <c r="C57" s="20"/>
      <c r="D57" s="20"/>
      <c r="E57" s="17">
        <v>1</v>
      </c>
      <c r="F57" s="17" t="s">
        <v>60</v>
      </c>
      <c r="G57" s="37">
        <v>45916</v>
      </c>
      <c r="H57" s="37">
        <v>45923</v>
      </c>
      <c r="I57" s="19"/>
      <c r="J57" s="20"/>
      <c r="K57" s="20"/>
      <c r="L57" s="20"/>
    </row>
    <row r="58" spans="1:12">
      <c r="A58" s="12">
        <v>50</v>
      </c>
      <c r="B58" s="12" t="s">
        <v>208</v>
      </c>
      <c r="C58" s="20"/>
      <c r="D58" s="17"/>
      <c r="E58" s="17">
        <v>1</v>
      </c>
      <c r="F58" s="17" t="s">
        <v>60</v>
      </c>
      <c r="G58" s="37">
        <v>45916</v>
      </c>
      <c r="H58" s="37">
        <v>45923</v>
      </c>
      <c r="I58" s="19"/>
      <c r="J58" s="20"/>
      <c r="K58" s="20"/>
      <c r="L58" s="20"/>
    </row>
    <row r="59" spans="1:12">
      <c r="A59" s="12">
        <v>51</v>
      </c>
      <c r="B59" s="12" t="s">
        <v>209</v>
      </c>
      <c r="C59" s="20"/>
      <c r="D59" s="20"/>
      <c r="E59" s="17">
        <v>1</v>
      </c>
      <c r="F59" s="17" t="s">
        <v>60</v>
      </c>
      <c r="G59" s="37">
        <v>45916</v>
      </c>
      <c r="H59" s="37">
        <v>45923</v>
      </c>
      <c r="I59" s="19"/>
      <c r="J59" s="20"/>
      <c r="K59" s="20"/>
      <c r="L59" s="20"/>
    </row>
    <row r="60" spans="1:12">
      <c r="A60" s="12">
        <v>52</v>
      </c>
      <c r="B60" s="12" t="s">
        <v>210</v>
      </c>
      <c r="C60" s="20"/>
      <c r="D60" s="20"/>
      <c r="E60" s="17" t="s">
        <v>58</v>
      </c>
      <c r="F60" s="17" t="s">
        <v>62</v>
      </c>
      <c r="G60" s="37">
        <v>45916</v>
      </c>
      <c r="H60" s="37">
        <v>45923</v>
      </c>
      <c r="I60" s="19"/>
      <c r="J60" s="20"/>
      <c r="K60" s="20"/>
      <c r="L60" s="20"/>
    </row>
    <row r="61" spans="1:12">
      <c r="A61" s="12">
        <v>53</v>
      </c>
      <c r="B61" s="12" t="s">
        <v>211</v>
      </c>
      <c r="C61" s="21"/>
      <c r="D61" s="17"/>
      <c r="E61" s="17">
        <v>1</v>
      </c>
      <c r="F61" s="17" t="s">
        <v>60</v>
      </c>
      <c r="G61" s="37">
        <v>45916</v>
      </c>
      <c r="H61" s="37">
        <v>45923</v>
      </c>
      <c r="I61" s="19"/>
      <c r="J61" s="20"/>
      <c r="K61" s="20"/>
      <c r="L61" s="20"/>
    </row>
    <row r="62" spans="1:12">
      <c r="A62" s="12">
        <v>54</v>
      </c>
      <c r="B62" s="12" t="s">
        <v>212</v>
      </c>
      <c r="C62" s="21"/>
      <c r="D62" s="17"/>
      <c r="E62" s="17">
        <v>1</v>
      </c>
      <c r="F62" s="17" t="s">
        <v>83</v>
      </c>
      <c r="G62" s="37">
        <v>45916</v>
      </c>
      <c r="H62" s="37">
        <v>45923</v>
      </c>
      <c r="I62" s="19"/>
      <c r="J62" s="20"/>
      <c r="K62" s="20"/>
      <c r="L62" s="20"/>
    </row>
    <row r="63" spans="1:12">
      <c r="A63" s="12">
        <v>55</v>
      </c>
      <c r="B63" s="12" t="s">
        <v>213</v>
      </c>
      <c r="C63" s="20"/>
      <c r="D63" s="20"/>
      <c r="E63" s="17">
        <v>1</v>
      </c>
      <c r="F63" s="17" t="s">
        <v>60</v>
      </c>
      <c r="G63" s="37">
        <v>45916</v>
      </c>
      <c r="H63" s="37">
        <v>45923</v>
      </c>
      <c r="I63" s="19"/>
      <c r="J63" s="20"/>
      <c r="K63" s="20"/>
      <c r="L63" s="20"/>
    </row>
    <row r="64" spans="1:12">
      <c r="A64" s="12">
        <v>56</v>
      </c>
      <c r="B64" s="12" t="s">
        <v>214</v>
      </c>
      <c r="C64" s="20"/>
      <c r="D64" s="20"/>
      <c r="E64" s="17">
        <v>1</v>
      </c>
      <c r="F64" s="17" t="s">
        <v>60</v>
      </c>
      <c r="G64" s="37">
        <v>45916</v>
      </c>
      <c r="H64" s="37">
        <v>45923</v>
      </c>
      <c r="I64" s="19"/>
      <c r="J64" s="20"/>
      <c r="K64" s="20"/>
      <c r="L64" s="20"/>
    </row>
    <row r="65" spans="1:12">
      <c r="A65" s="12">
        <v>57</v>
      </c>
      <c r="B65" s="12" t="s">
        <v>215</v>
      </c>
      <c r="C65" s="20"/>
      <c r="D65" s="20"/>
      <c r="E65" s="17">
        <v>1</v>
      </c>
      <c r="F65" s="17" t="s">
        <v>60</v>
      </c>
      <c r="G65" s="37">
        <v>45916</v>
      </c>
      <c r="H65" s="37">
        <v>45923</v>
      </c>
      <c r="I65" s="19"/>
      <c r="J65" s="20"/>
      <c r="K65" s="20"/>
      <c r="L65" s="20"/>
    </row>
    <row r="66" spans="1:12">
      <c r="A66" s="12">
        <v>58</v>
      </c>
      <c r="B66" s="12" t="s">
        <v>216</v>
      </c>
      <c r="C66" s="20"/>
      <c r="D66" s="20"/>
      <c r="E66" s="17">
        <v>1</v>
      </c>
      <c r="F66" s="17" t="s">
        <v>60</v>
      </c>
      <c r="G66" s="37">
        <v>45916</v>
      </c>
      <c r="H66" s="37">
        <v>45923</v>
      </c>
      <c r="I66" s="19"/>
      <c r="J66" s="20"/>
      <c r="K66" s="20"/>
      <c r="L66" s="20"/>
    </row>
    <row r="67" spans="1:12">
      <c r="A67" s="12">
        <v>59</v>
      </c>
      <c r="B67" s="12" t="s">
        <v>217</v>
      </c>
      <c r="C67" s="20"/>
      <c r="D67" s="39"/>
      <c r="E67" s="17">
        <v>1</v>
      </c>
      <c r="F67" s="17" t="s">
        <v>60</v>
      </c>
      <c r="G67" s="37">
        <v>45916</v>
      </c>
      <c r="H67" s="37">
        <v>45923</v>
      </c>
      <c r="I67" s="19"/>
      <c r="J67" s="20"/>
      <c r="K67" s="20"/>
      <c r="L67" s="20"/>
    </row>
    <row r="68" spans="1:12">
      <c r="A68" s="12">
        <v>60</v>
      </c>
      <c r="B68" s="12" t="s">
        <v>218</v>
      </c>
      <c r="C68" s="20"/>
      <c r="D68" s="20"/>
      <c r="E68" s="17">
        <v>1</v>
      </c>
      <c r="F68" s="17" t="s">
        <v>60</v>
      </c>
      <c r="G68" s="37">
        <v>45916</v>
      </c>
      <c r="H68" s="37">
        <v>45923</v>
      </c>
      <c r="I68" s="19"/>
      <c r="J68" s="20"/>
      <c r="K68" s="20"/>
      <c r="L68" s="20"/>
    </row>
    <row r="69" spans="1:12">
      <c r="A69" s="12">
        <v>61</v>
      </c>
      <c r="B69" s="12" t="s">
        <v>219</v>
      </c>
      <c r="C69" s="20"/>
      <c r="D69" s="20"/>
      <c r="E69" s="17">
        <v>1</v>
      </c>
      <c r="F69" s="17" t="s">
        <v>56</v>
      </c>
      <c r="G69" s="37">
        <v>45916</v>
      </c>
      <c r="H69" s="37">
        <v>45923</v>
      </c>
      <c r="I69" s="19"/>
      <c r="J69" s="20"/>
      <c r="K69" s="20"/>
      <c r="L69" s="20"/>
    </row>
    <row r="70" spans="1:12">
      <c r="A70" s="12">
        <v>62</v>
      </c>
      <c r="B70" s="12" t="s">
        <v>220</v>
      </c>
      <c r="C70" s="20"/>
      <c r="D70" s="39"/>
      <c r="E70" s="17" t="s">
        <v>91</v>
      </c>
      <c r="F70" s="17" t="s">
        <v>57</v>
      </c>
      <c r="G70" s="37">
        <v>45916</v>
      </c>
      <c r="H70" s="37">
        <v>45923</v>
      </c>
      <c r="I70" s="19"/>
      <c r="J70" s="20"/>
      <c r="K70" s="20"/>
      <c r="L70" s="20"/>
    </row>
    <row r="71" spans="1:12">
      <c r="A71" s="12">
        <v>63</v>
      </c>
      <c r="B71" s="12" t="s">
        <v>221</v>
      </c>
      <c r="C71" s="20"/>
      <c r="D71" s="20"/>
      <c r="E71" s="17">
        <v>1</v>
      </c>
      <c r="F71" s="17" t="s">
        <v>60</v>
      </c>
      <c r="G71" s="37">
        <v>45916</v>
      </c>
      <c r="H71" s="37">
        <v>45923</v>
      </c>
      <c r="I71" s="19"/>
      <c r="J71" s="20"/>
      <c r="K71" s="20"/>
      <c r="L71" s="20"/>
    </row>
    <row r="72" spans="1:12">
      <c r="A72" s="12">
        <v>64</v>
      </c>
      <c r="B72" s="12" t="s">
        <v>222</v>
      </c>
      <c r="C72" s="20"/>
      <c r="D72" s="20"/>
      <c r="E72" s="17">
        <v>1</v>
      </c>
      <c r="F72" s="17" t="s">
        <v>60</v>
      </c>
      <c r="G72" s="37">
        <v>45916</v>
      </c>
      <c r="H72" s="37">
        <v>45923</v>
      </c>
      <c r="I72" s="19"/>
      <c r="J72" s="20"/>
      <c r="K72" s="20"/>
      <c r="L72" s="20"/>
    </row>
    <row r="73" spans="1:12">
      <c r="A73" s="12">
        <v>65</v>
      </c>
      <c r="B73" s="12" t="s">
        <v>223</v>
      </c>
      <c r="C73" s="20"/>
      <c r="D73" s="20"/>
      <c r="E73" s="17">
        <v>1</v>
      </c>
      <c r="F73" s="17" t="s">
        <v>57</v>
      </c>
      <c r="G73" s="37">
        <v>45916</v>
      </c>
      <c r="H73" s="37">
        <v>45923</v>
      </c>
      <c r="I73" s="19"/>
      <c r="J73" s="20"/>
      <c r="K73" s="20"/>
      <c r="L73" s="20"/>
    </row>
    <row r="74" spans="1:12">
      <c r="A74" s="12">
        <v>66</v>
      </c>
      <c r="B74" s="12" t="s">
        <v>224</v>
      </c>
      <c r="C74" s="20"/>
      <c r="D74" s="20"/>
      <c r="E74" s="17" t="s">
        <v>58</v>
      </c>
      <c r="F74" s="17" t="s">
        <v>62</v>
      </c>
      <c r="G74" s="37">
        <v>45916</v>
      </c>
      <c r="H74" s="37">
        <v>45923</v>
      </c>
      <c r="I74" s="19"/>
      <c r="J74" s="20"/>
      <c r="K74" s="20"/>
      <c r="L74" s="20"/>
    </row>
    <row r="75" spans="1:12">
      <c r="A75" s="12">
        <v>67</v>
      </c>
      <c r="B75" s="12" t="s">
        <v>225</v>
      </c>
      <c r="C75" s="21"/>
      <c r="D75" s="17"/>
      <c r="E75" s="17">
        <v>1</v>
      </c>
      <c r="F75" s="17" t="s">
        <v>60</v>
      </c>
      <c r="G75" s="37">
        <v>45916</v>
      </c>
      <c r="H75" s="37">
        <v>45923</v>
      </c>
      <c r="I75" s="19"/>
      <c r="J75" s="20"/>
      <c r="K75" s="20"/>
      <c r="L75" s="20"/>
    </row>
    <row r="76" spans="1:12">
      <c r="A76" s="12">
        <v>68</v>
      </c>
      <c r="B76" s="12" t="s">
        <v>226</v>
      </c>
      <c r="C76" s="14"/>
      <c r="D76" s="17"/>
      <c r="E76" s="17">
        <v>1</v>
      </c>
      <c r="F76" s="17" t="s">
        <v>60</v>
      </c>
      <c r="G76" s="37">
        <v>45916</v>
      </c>
      <c r="H76" s="37">
        <v>45923</v>
      </c>
      <c r="I76" s="19"/>
      <c r="J76" s="20"/>
      <c r="K76" s="20"/>
      <c r="L76" s="20"/>
    </row>
    <row r="77" spans="1:12">
      <c r="A77" s="12">
        <v>69</v>
      </c>
      <c r="B77" s="12" t="s">
        <v>227</v>
      </c>
      <c r="C77" s="20"/>
      <c r="D77" s="20"/>
      <c r="E77" s="17" t="s">
        <v>61</v>
      </c>
      <c r="F77" s="17" t="s">
        <v>57</v>
      </c>
      <c r="G77" s="37">
        <v>45916</v>
      </c>
      <c r="H77" s="37">
        <v>45923</v>
      </c>
      <c r="I77" s="19"/>
      <c r="J77" s="20"/>
      <c r="K77" s="20"/>
      <c r="L77" s="20"/>
    </row>
    <row r="78" spans="1:12">
      <c r="A78" s="12">
        <v>70</v>
      </c>
      <c r="B78" s="12" t="s">
        <v>228</v>
      </c>
      <c r="C78" s="20"/>
      <c r="D78" s="15"/>
      <c r="E78" s="17">
        <v>1</v>
      </c>
      <c r="F78" s="17" t="s">
        <v>60</v>
      </c>
      <c r="G78" s="37">
        <v>45916</v>
      </c>
      <c r="H78" s="37">
        <v>45923</v>
      </c>
      <c r="I78" s="19"/>
      <c r="J78" s="20"/>
      <c r="K78" s="20"/>
      <c r="L78" s="20"/>
    </row>
    <row r="79" spans="1:12">
      <c r="A79" s="12">
        <v>71</v>
      </c>
      <c r="B79" s="12" t="s">
        <v>229</v>
      </c>
      <c r="C79" s="14"/>
      <c r="D79" s="17"/>
      <c r="E79" s="17">
        <v>1</v>
      </c>
      <c r="F79" s="17" t="s">
        <v>57</v>
      </c>
      <c r="G79" s="37">
        <v>45916</v>
      </c>
      <c r="H79" s="37">
        <v>45923</v>
      </c>
      <c r="I79" s="19"/>
      <c r="J79" s="20"/>
      <c r="K79" s="20"/>
      <c r="L79" s="20"/>
    </row>
    <row r="80" spans="1:12">
      <c r="A80" s="12">
        <v>72</v>
      </c>
      <c r="B80" s="12" t="s">
        <v>230</v>
      </c>
      <c r="C80" s="14"/>
      <c r="D80" s="17"/>
      <c r="E80" s="16" t="s">
        <v>112</v>
      </c>
      <c r="F80" s="17" t="s">
        <v>57</v>
      </c>
      <c r="G80" s="37">
        <v>45916</v>
      </c>
      <c r="H80" s="37">
        <v>45923</v>
      </c>
      <c r="I80" s="19"/>
      <c r="J80" s="20"/>
      <c r="K80" s="20"/>
      <c r="L80" s="20"/>
    </row>
    <row r="81" spans="1:12">
      <c r="A81" s="12">
        <v>73</v>
      </c>
      <c r="B81" s="12" t="s">
        <v>231</v>
      </c>
      <c r="C81" s="20"/>
      <c r="D81" s="20"/>
      <c r="E81" s="17">
        <v>1</v>
      </c>
      <c r="F81" s="17" t="s">
        <v>57</v>
      </c>
      <c r="G81" s="37">
        <v>45916</v>
      </c>
      <c r="H81" s="37">
        <v>45923</v>
      </c>
      <c r="I81" s="19"/>
      <c r="J81" s="20"/>
      <c r="K81" s="20"/>
      <c r="L81" s="20"/>
    </row>
    <row r="82" spans="1:12">
      <c r="A82" s="12">
        <v>74</v>
      </c>
      <c r="B82" s="12" t="s">
        <v>232</v>
      </c>
      <c r="C82" s="21"/>
      <c r="D82" s="17"/>
      <c r="E82" s="17">
        <v>1</v>
      </c>
      <c r="F82" s="17" t="s">
        <v>60</v>
      </c>
      <c r="G82" s="37">
        <v>45916</v>
      </c>
      <c r="H82" s="37">
        <v>45923</v>
      </c>
      <c r="I82" s="19"/>
      <c r="J82" s="20"/>
      <c r="K82" s="20"/>
      <c r="L82" s="20"/>
    </row>
    <row r="83" spans="1:12">
      <c r="A83" s="12">
        <v>75</v>
      </c>
      <c r="B83" s="12" t="s">
        <v>233</v>
      </c>
      <c r="C83" s="21"/>
      <c r="D83" s="17"/>
      <c r="E83" s="17" t="s">
        <v>58</v>
      </c>
      <c r="F83" s="17" t="s">
        <v>111</v>
      </c>
      <c r="G83" s="18">
        <v>45918</v>
      </c>
      <c r="H83" s="37">
        <v>45923</v>
      </c>
      <c r="I83" s="17"/>
      <c r="J83" s="20"/>
      <c r="K83" s="20"/>
      <c r="L83" s="20"/>
    </row>
    <row r="84" spans="1:12">
      <c r="A84" s="12">
        <v>76</v>
      </c>
      <c r="B84" s="12" t="s">
        <v>234</v>
      </c>
      <c r="C84" s="21"/>
      <c r="D84" s="17"/>
      <c r="E84" s="17" t="s">
        <v>61</v>
      </c>
      <c r="F84" s="17" t="s">
        <v>57</v>
      </c>
      <c r="G84" s="18">
        <v>45918</v>
      </c>
      <c r="H84" s="37">
        <v>45923</v>
      </c>
      <c r="I84" s="17"/>
      <c r="J84" s="20"/>
      <c r="K84" s="20"/>
      <c r="L84" s="20"/>
    </row>
    <row r="85" spans="1:12">
      <c r="A85" s="12">
        <v>66</v>
      </c>
      <c r="B85" s="12" t="s">
        <v>235</v>
      </c>
      <c r="C85" s="21"/>
      <c r="D85" s="17"/>
      <c r="E85" s="17" t="s">
        <v>58</v>
      </c>
      <c r="F85" s="17" t="s">
        <v>111</v>
      </c>
      <c r="G85" s="18">
        <v>45918</v>
      </c>
      <c r="H85" s="37">
        <v>45923</v>
      </c>
      <c r="I85" s="17"/>
      <c r="J85" s="20"/>
      <c r="K85" s="20"/>
      <c r="L85" s="20"/>
    </row>
    <row r="86" spans="1:12">
      <c r="A86" s="12">
        <v>78</v>
      </c>
      <c r="B86" s="12" t="s">
        <v>236</v>
      </c>
      <c r="C86" s="21"/>
      <c r="D86" s="17"/>
      <c r="E86" s="17" t="s">
        <v>58</v>
      </c>
      <c r="F86" s="17" t="s">
        <v>111</v>
      </c>
      <c r="G86" s="18">
        <v>45918</v>
      </c>
      <c r="H86" s="37">
        <v>45923</v>
      </c>
      <c r="I86" s="17"/>
      <c r="J86" s="20"/>
      <c r="K86" s="20"/>
      <c r="L86" s="20"/>
    </row>
    <row r="87" spans="1:12">
      <c r="A87" s="12">
        <v>79</v>
      </c>
      <c r="B87" s="12" t="s">
        <v>237</v>
      </c>
      <c r="C87" s="21"/>
      <c r="D87" s="17"/>
      <c r="E87" s="17" t="s">
        <v>58</v>
      </c>
      <c r="F87" s="17" t="s">
        <v>111</v>
      </c>
      <c r="G87" s="18">
        <v>45918</v>
      </c>
      <c r="H87" s="37">
        <v>45923</v>
      </c>
      <c r="I87" s="17"/>
      <c r="J87" s="20"/>
      <c r="K87" s="20"/>
      <c r="L87" s="20"/>
    </row>
    <row r="88" spans="1:12">
      <c r="A88" s="12">
        <v>80</v>
      </c>
      <c r="B88" s="12" t="s">
        <v>238</v>
      </c>
      <c r="C88" s="14"/>
      <c r="D88" s="17"/>
      <c r="E88" s="17" t="s">
        <v>58</v>
      </c>
      <c r="F88" s="17" t="s">
        <v>111</v>
      </c>
      <c r="G88" s="18">
        <v>45918</v>
      </c>
      <c r="H88" s="37">
        <v>45923</v>
      </c>
      <c r="I88" s="17"/>
      <c r="J88" s="20"/>
      <c r="K88" s="20"/>
      <c r="L88" s="20"/>
    </row>
    <row r="89" spans="1:12">
      <c r="A89" s="12">
        <v>81</v>
      </c>
      <c r="B89" s="12" t="s">
        <v>239</v>
      </c>
      <c r="C89" s="14"/>
      <c r="D89" s="17"/>
      <c r="E89" s="17" t="s">
        <v>58</v>
      </c>
      <c r="F89" s="17" t="s">
        <v>111</v>
      </c>
      <c r="G89" s="18">
        <v>45918</v>
      </c>
      <c r="H89" s="37">
        <v>45923</v>
      </c>
      <c r="I89" s="17"/>
      <c r="J89" s="20"/>
      <c r="K89" s="20"/>
      <c r="L89" s="20"/>
    </row>
  </sheetData>
  <sortState ref="B9:I107">
    <sortCondition ref="B9"/>
  </sortState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89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57"/>
  <sheetViews>
    <sheetView topLeftCell="A51" zoomScale="98" zoomScaleNormal="45" workbookViewId="0">
      <selection activeCell="B9" sqref="B9:B57"/>
    </sheetView>
  </sheetViews>
  <sheetFormatPr defaultRowHeight="13.8"/>
  <cols>
    <col min="1" max="1" width="4.09765625" customWidth="1"/>
    <col min="2" max="2" width="23.3984375" customWidth="1"/>
    <col min="3" max="3" width="12.09765625" customWidth="1"/>
    <col min="4" max="4" width="8.59765625" customWidth="1"/>
    <col min="5" max="5" width="9.19921875" customWidth="1"/>
    <col min="6" max="6" width="16.5" customWidth="1"/>
    <col min="7" max="7" width="10.09765625" customWidth="1"/>
    <col min="8" max="8" width="10" customWidth="1"/>
    <col min="9" max="9" width="8" customWidth="1"/>
  </cols>
  <sheetData>
    <row r="1" spans="1:12" ht="22.2">
      <c r="A1" s="58">
        <v>45924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2">
      <c r="A2" s="59" t="s">
        <v>0</v>
      </c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63"/>
      <c r="L3" s="63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63"/>
      <c r="L4" s="63"/>
    </row>
    <row r="5" spans="1:12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63"/>
      <c r="L5" s="63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63"/>
      <c r="L6" s="63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63"/>
      <c r="L7" s="63"/>
    </row>
    <row r="8" spans="1:12" ht="55.2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2">
      <c r="A9" s="12">
        <v>1</v>
      </c>
      <c r="B9" s="20" t="s">
        <v>159</v>
      </c>
      <c r="C9" s="20"/>
      <c r="D9" s="20"/>
      <c r="E9" s="17" t="s">
        <v>58</v>
      </c>
      <c r="F9" s="17" t="s">
        <v>111</v>
      </c>
      <c r="G9" s="37">
        <v>45766</v>
      </c>
      <c r="H9" s="37">
        <v>45924</v>
      </c>
      <c r="I9" s="19"/>
      <c r="J9" s="20"/>
      <c r="K9" s="20"/>
      <c r="L9" s="20"/>
    </row>
    <row r="10" spans="1:12">
      <c r="A10" s="12">
        <v>2</v>
      </c>
      <c r="B10" s="20" t="s">
        <v>160</v>
      </c>
      <c r="C10" s="20"/>
      <c r="D10" s="17"/>
      <c r="E10" s="17">
        <v>1</v>
      </c>
      <c r="F10" s="17" t="s">
        <v>57</v>
      </c>
      <c r="G10" s="37">
        <v>45917</v>
      </c>
      <c r="H10" s="37">
        <v>45924</v>
      </c>
      <c r="I10" s="19"/>
      <c r="J10" s="20"/>
      <c r="K10" s="20"/>
      <c r="L10" s="23"/>
    </row>
    <row r="11" spans="1:12">
      <c r="A11" s="12">
        <v>3</v>
      </c>
      <c r="B11" s="20" t="s">
        <v>161</v>
      </c>
      <c r="C11" s="21"/>
      <c r="D11" s="17"/>
      <c r="E11" s="17">
        <v>2</v>
      </c>
      <c r="F11" s="17" t="s">
        <v>62</v>
      </c>
      <c r="G11" s="37">
        <v>45917</v>
      </c>
      <c r="H11" s="37">
        <v>45924</v>
      </c>
      <c r="I11" s="19"/>
      <c r="J11" s="20"/>
      <c r="K11" s="23"/>
      <c r="L11" s="20"/>
    </row>
    <row r="12" spans="1:12">
      <c r="A12" s="12">
        <v>4</v>
      </c>
      <c r="B12" s="20" t="s">
        <v>162</v>
      </c>
      <c r="C12" s="20"/>
      <c r="D12" s="20"/>
      <c r="E12" s="16">
        <v>1</v>
      </c>
      <c r="F12" s="17" t="s">
        <v>60</v>
      </c>
      <c r="G12" s="37">
        <v>45917</v>
      </c>
      <c r="H12" s="37">
        <v>45924</v>
      </c>
      <c r="I12" s="19"/>
      <c r="J12" s="20"/>
      <c r="K12" s="20"/>
      <c r="L12" s="20"/>
    </row>
    <row r="13" spans="1:12">
      <c r="A13" s="12">
        <v>5</v>
      </c>
      <c r="B13" s="20" t="s">
        <v>163</v>
      </c>
      <c r="C13" s="20"/>
      <c r="D13" s="20"/>
      <c r="E13" s="16">
        <v>1</v>
      </c>
      <c r="F13" s="17" t="s">
        <v>60</v>
      </c>
      <c r="G13" s="37">
        <v>45917</v>
      </c>
      <c r="H13" s="37">
        <v>45924</v>
      </c>
      <c r="I13" s="19"/>
      <c r="J13" s="22"/>
      <c r="K13" s="20"/>
      <c r="L13" s="23"/>
    </row>
    <row r="14" spans="1:12">
      <c r="A14" s="12">
        <v>6</v>
      </c>
      <c r="B14" s="20" t="s">
        <v>164</v>
      </c>
      <c r="C14" s="20"/>
      <c r="D14" s="20"/>
      <c r="E14" s="17">
        <v>1</v>
      </c>
      <c r="F14" s="17" t="s">
        <v>57</v>
      </c>
      <c r="G14" s="37">
        <v>45917</v>
      </c>
      <c r="H14" s="37">
        <v>45924</v>
      </c>
      <c r="I14" s="19"/>
      <c r="J14" s="20"/>
      <c r="K14" s="23"/>
      <c r="L14" s="23"/>
    </row>
    <row r="15" spans="1:12">
      <c r="A15" s="12">
        <v>7</v>
      </c>
      <c r="B15" s="20" t="s">
        <v>165</v>
      </c>
      <c r="C15" s="20"/>
      <c r="D15" s="20"/>
      <c r="E15" s="17">
        <v>1</v>
      </c>
      <c r="F15" s="17" t="s">
        <v>57</v>
      </c>
      <c r="G15" s="37">
        <v>45917</v>
      </c>
      <c r="H15" s="37">
        <v>45924</v>
      </c>
      <c r="I15" s="19"/>
      <c r="J15" s="20"/>
      <c r="K15" s="23"/>
      <c r="L15" s="20"/>
    </row>
    <row r="16" spans="1:12">
      <c r="A16" s="12">
        <v>8</v>
      </c>
      <c r="B16" s="20" t="s">
        <v>166</v>
      </c>
      <c r="C16" s="20"/>
      <c r="D16" s="20"/>
      <c r="E16" s="17" t="s">
        <v>61</v>
      </c>
      <c r="F16" s="17" t="s">
        <v>57</v>
      </c>
      <c r="G16" s="37">
        <v>45917</v>
      </c>
      <c r="H16" s="37">
        <v>45924</v>
      </c>
      <c r="I16" s="19"/>
      <c r="J16" s="22"/>
      <c r="K16" s="20"/>
      <c r="L16" s="23"/>
    </row>
    <row r="17" spans="1:12">
      <c r="A17" s="12">
        <v>9</v>
      </c>
      <c r="B17" s="20" t="s">
        <v>167</v>
      </c>
      <c r="C17" s="20"/>
      <c r="D17" s="20"/>
      <c r="E17" s="16">
        <v>1</v>
      </c>
      <c r="F17" s="17" t="s">
        <v>95</v>
      </c>
      <c r="G17" s="37">
        <v>45917</v>
      </c>
      <c r="H17" s="37">
        <v>45924</v>
      </c>
      <c r="I17" s="19"/>
      <c r="J17" s="20"/>
      <c r="K17" s="23"/>
      <c r="L17" s="23"/>
    </row>
    <row r="18" spans="1:12">
      <c r="A18" s="12">
        <v>10</v>
      </c>
      <c r="B18" s="20" t="s">
        <v>168</v>
      </c>
      <c r="C18" s="20"/>
      <c r="D18" s="20"/>
      <c r="E18" s="16">
        <v>1</v>
      </c>
      <c r="F18" s="17" t="s">
        <v>76</v>
      </c>
      <c r="G18" s="37">
        <v>45917</v>
      </c>
      <c r="H18" s="37">
        <v>45924</v>
      </c>
      <c r="I18" s="19"/>
      <c r="J18" s="20"/>
      <c r="K18" s="23"/>
      <c r="L18" s="20"/>
    </row>
    <row r="19" spans="1:12">
      <c r="A19" s="12">
        <v>11</v>
      </c>
      <c r="B19" s="20" t="s">
        <v>169</v>
      </c>
      <c r="C19" s="21"/>
      <c r="D19" s="17"/>
      <c r="E19" s="16">
        <v>1</v>
      </c>
      <c r="F19" s="17" t="s">
        <v>136</v>
      </c>
      <c r="G19" s="37">
        <v>45917</v>
      </c>
      <c r="H19" s="37">
        <v>45924</v>
      </c>
      <c r="I19" s="19"/>
      <c r="J19" s="20"/>
      <c r="K19" s="20"/>
      <c r="L19" s="20"/>
    </row>
    <row r="20" spans="1:12">
      <c r="A20" s="12">
        <v>12</v>
      </c>
      <c r="B20" s="20" t="s">
        <v>170</v>
      </c>
      <c r="C20" s="20"/>
      <c r="D20" s="20"/>
      <c r="E20" s="16">
        <v>1</v>
      </c>
      <c r="F20" s="17" t="s">
        <v>60</v>
      </c>
      <c r="G20" s="37">
        <v>45917</v>
      </c>
      <c r="H20" s="37">
        <v>45924</v>
      </c>
      <c r="I20" s="19"/>
      <c r="J20" s="22"/>
      <c r="K20" s="20"/>
      <c r="L20" s="23"/>
    </row>
    <row r="21" spans="1:12">
      <c r="A21" s="12">
        <v>13</v>
      </c>
      <c r="B21" s="20" t="s">
        <v>171</v>
      </c>
      <c r="C21" s="20"/>
      <c r="D21" s="20"/>
      <c r="E21" s="17">
        <v>1</v>
      </c>
      <c r="F21" s="17" t="s">
        <v>57</v>
      </c>
      <c r="G21" s="37">
        <v>45917</v>
      </c>
      <c r="H21" s="37">
        <v>45924</v>
      </c>
      <c r="I21" s="19"/>
      <c r="J21" s="20"/>
      <c r="K21" s="23"/>
      <c r="L21" s="23"/>
    </row>
    <row r="22" spans="1:12">
      <c r="A22" s="12">
        <v>14</v>
      </c>
      <c r="B22" s="20" t="s">
        <v>172</v>
      </c>
      <c r="C22" s="20"/>
      <c r="D22" s="17"/>
      <c r="E22" s="17" t="s">
        <v>58</v>
      </c>
      <c r="F22" s="17" t="s">
        <v>111</v>
      </c>
      <c r="G22" s="37">
        <v>45917</v>
      </c>
      <c r="H22" s="37">
        <v>45924</v>
      </c>
      <c r="I22" s="19"/>
      <c r="J22" s="20"/>
      <c r="K22" s="23"/>
      <c r="L22" s="20"/>
    </row>
    <row r="23" spans="1:12">
      <c r="A23" s="12">
        <v>15</v>
      </c>
      <c r="B23" s="20" t="s">
        <v>173</v>
      </c>
      <c r="C23" s="20"/>
      <c r="D23" s="20"/>
      <c r="E23" s="17" t="s">
        <v>58</v>
      </c>
      <c r="F23" s="17" t="s">
        <v>62</v>
      </c>
      <c r="G23" s="37">
        <v>45917</v>
      </c>
      <c r="H23" s="37">
        <v>45924</v>
      </c>
      <c r="I23" s="19"/>
      <c r="J23" s="20"/>
      <c r="K23" s="23"/>
      <c r="L23" s="20"/>
    </row>
    <row r="24" spans="1:12">
      <c r="A24" s="12">
        <v>16</v>
      </c>
      <c r="B24" s="20" t="s">
        <v>174</v>
      </c>
      <c r="C24" s="20"/>
      <c r="D24" s="20"/>
      <c r="E24" s="17" t="s">
        <v>58</v>
      </c>
      <c r="F24" s="17" t="s">
        <v>62</v>
      </c>
      <c r="G24" s="37">
        <v>45917</v>
      </c>
      <c r="H24" s="37">
        <v>45924</v>
      </c>
      <c r="I24" s="19"/>
      <c r="J24" s="22"/>
      <c r="K24" s="20"/>
      <c r="L24" s="23"/>
    </row>
    <row r="25" spans="1:12">
      <c r="A25" s="12">
        <v>17</v>
      </c>
      <c r="B25" s="20" t="s">
        <v>175</v>
      </c>
      <c r="C25" s="20"/>
      <c r="D25" s="20"/>
      <c r="E25" s="17" t="s">
        <v>58</v>
      </c>
      <c r="F25" s="17" t="s">
        <v>111</v>
      </c>
      <c r="G25" s="37">
        <v>45917</v>
      </c>
      <c r="H25" s="37">
        <v>45924</v>
      </c>
      <c r="I25" s="19"/>
      <c r="J25" s="20"/>
      <c r="K25" s="20"/>
      <c r="L25" s="23"/>
    </row>
    <row r="26" spans="1:12">
      <c r="A26" s="12">
        <v>18</v>
      </c>
      <c r="B26" s="20" t="s">
        <v>176</v>
      </c>
      <c r="C26" s="20"/>
      <c r="D26" s="20"/>
      <c r="E26" s="17" t="s">
        <v>58</v>
      </c>
      <c r="F26" s="17" t="s">
        <v>62</v>
      </c>
      <c r="G26" s="37">
        <v>45917</v>
      </c>
      <c r="H26" s="37">
        <v>45924</v>
      </c>
      <c r="I26" s="19"/>
      <c r="J26" s="20"/>
      <c r="K26" s="20"/>
      <c r="L26" s="23"/>
    </row>
    <row r="27" spans="1:12">
      <c r="A27" s="12">
        <v>19</v>
      </c>
      <c r="B27" s="20" t="s">
        <v>177</v>
      </c>
      <c r="C27" s="20"/>
      <c r="D27" s="20"/>
      <c r="E27" s="16">
        <v>1</v>
      </c>
      <c r="F27" s="17" t="s">
        <v>60</v>
      </c>
      <c r="G27" s="37">
        <v>45917</v>
      </c>
      <c r="H27" s="37">
        <v>45924</v>
      </c>
      <c r="I27" s="19"/>
      <c r="J27" s="22"/>
      <c r="K27" s="23"/>
      <c r="L27" s="20"/>
    </row>
    <row r="28" spans="1:12">
      <c r="A28" s="12">
        <v>20</v>
      </c>
      <c r="B28" s="20" t="s">
        <v>178</v>
      </c>
      <c r="C28" s="20"/>
      <c r="D28" s="20"/>
      <c r="E28" s="17" t="s">
        <v>58</v>
      </c>
      <c r="F28" s="17" t="s">
        <v>111</v>
      </c>
      <c r="G28" s="37">
        <v>45766</v>
      </c>
      <c r="H28" s="37">
        <v>45924</v>
      </c>
      <c r="I28" s="19"/>
      <c r="J28" s="20"/>
      <c r="K28" s="23"/>
      <c r="L28" s="23"/>
    </row>
    <row r="29" spans="1:12">
      <c r="A29" s="12">
        <v>21</v>
      </c>
      <c r="B29" s="20" t="s">
        <v>179</v>
      </c>
      <c r="C29" s="21"/>
      <c r="D29" s="17"/>
      <c r="E29" s="16">
        <v>1</v>
      </c>
      <c r="F29" s="17" t="s">
        <v>136</v>
      </c>
      <c r="G29" s="37">
        <v>45917</v>
      </c>
      <c r="H29" s="37">
        <v>45924</v>
      </c>
      <c r="I29" s="19"/>
      <c r="J29" s="20"/>
      <c r="K29" s="23"/>
      <c r="L29" s="23"/>
    </row>
    <row r="30" spans="1:12">
      <c r="A30" s="12">
        <v>22</v>
      </c>
      <c r="B30" s="20" t="s">
        <v>180</v>
      </c>
      <c r="C30" s="20"/>
      <c r="D30" s="39"/>
      <c r="E30" s="17" t="s">
        <v>71</v>
      </c>
      <c r="F30" s="17" t="s">
        <v>62</v>
      </c>
      <c r="G30" s="37">
        <v>45917</v>
      </c>
      <c r="H30" s="37">
        <v>45924</v>
      </c>
      <c r="I30" s="19"/>
      <c r="J30" s="20"/>
      <c r="K30" s="20"/>
      <c r="L30" s="20"/>
    </row>
    <row r="31" spans="1:12">
      <c r="A31" s="12">
        <v>23</v>
      </c>
      <c r="B31" s="20" t="s">
        <v>181</v>
      </c>
      <c r="C31" s="21"/>
      <c r="D31" s="17"/>
      <c r="E31" s="16">
        <v>1</v>
      </c>
      <c r="F31" s="17" t="s">
        <v>60</v>
      </c>
      <c r="G31" s="37">
        <v>45917</v>
      </c>
      <c r="H31" s="37">
        <v>45924</v>
      </c>
      <c r="I31" s="19"/>
      <c r="J31" s="22"/>
      <c r="K31" s="23"/>
      <c r="L31" s="23"/>
    </row>
    <row r="32" spans="1:12">
      <c r="A32" s="12">
        <v>24</v>
      </c>
      <c r="B32" s="20" t="s">
        <v>182</v>
      </c>
      <c r="C32" s="21"/>
      <c r="D32" s="17"/>
      <c r="E32" s="17" t="s">
        <v>58</v>
      </c>
      <c r="F32" s="17" t="s">
        <v>62</v>
      </c>
      <c r="G32" s="37">
        <v>45917</v>
      </c>
      <c r="H32" s="37">
        <v>45924</v>
      </c>
      <c r="I32" s="19"/>
      <c r="J32" s="20"/>
      <c r="K32" s="23"/>
      <c r="L32" s="20"/>
    </row>
    <row r="33" spans="1:12">
      <c r="A33" s="12">
        <v>25</v>
      </c>
      <c r="B33" s="20" t="s">
        <v>183</v>
      </c>
      <c r="C33" s="20"/>
      <c r="D33" s="20"/>
      <c r="E33" s="16">
        <v>1</v>
      </c>
      <c r="F33" s="17" t="s">
        <v>60</v>
      </c>
      <c r="G33" s="37">
        <v>45917</v>
      </c>
      <c r="H33" s="37">
        <v>45924</v>
      </c>
      <c r="I33" s="19"/>
      <c r="J33" s="20"/>
      <c r="K33" s="20"/>
      <c r="L33" s="20"/>
    </row>
    <row r="34" spans="1:12">
      <c r="A34" s="12">
        <v>26</v>
      </c>
      <c r="B34" s="20" t="s">
        <v>184</v>
      </c>
      <c r="C34" s="20"/>
      <c r="D34" s="39"/>
      <c r="E34" s="17">
        <v>1</v>
      </c>
      <c r="F34" s="17" t="s">
        <v>60</v>
      </c>
      <c r="G34" s="37">
        <v>45917</v>
      </c>
      <c r="H34" s="37">
        <v>45924</v>
      </c>
      <c r="I34" s="19"/>
      <c r="J34" s="20"/>
      <c r="K34" s="20"/>
      <c r="L34" s="20"/>
    </row>
    <row r="35" spans="1:12">
      <c r="A35" s="12">
        <v>27</v>
      </c>
      <c r="B35" s="20" t="s">
        <v>185</v>
      </c>
      <c r="C35" s="14"/>
      <c r="D35" s="15"/>
      <c r="E35" s="16">
        <v>1</v>
      </c>
      <c r="F35" s="17" t="s">
        <v>60</v>
      </c>
      <c r="G35" s="37">
        <v>45917</v>
      </c>
      <c r="H35" s="37">
        <v>45924</v>
      </c>
      <c r="I35" s="19"/>
      <c r="J35" s="22"/>
      <c r="K35" s="20"/>
      <c r="L35" s="20"/>
    </row>
    <row r="36" spans="1:12">
      <c r="A36" s="12">
        <v>28</v>
      </c>
      <c r="B36" s="20" t="s">
        <v>186</v>
      </c>
      <c r="C36" s="20"/>
      <c r="D36" s="20"/>
      <c r="E36" s="16">
        <v>1</v>
      </c>
      <c r="F36" s="17" t="s">
        <v>60</v>
      </c>
      <c r="G36" s="37">
        <v>45917</v>
      </c>
      <c r="H36" s="37">
        <v>45924</v>
      </c>
      <c r="I36" s="19"/>
      <c r="J36" s="20"/>
      <c r="K36" s="20"/>
      <c r="L36" s="20"/>
    </row>
    <row r="37" spans="1:12">
      <c r="A37" s="12">
        <v>29</v>
      </c>
      <c r="B37" s="20" t="s">
        <v>187</v>
      </c>
      <c r="C37" s="20"/>
      <c r="D37" s="20"/>
      <c r="E37" s="16">
        <v>1</v>
      </c>
      <c r="F37" s="17" t="s">
        <v>60</v>
      </c>
      <c r="G37" s="37">
        <v>45917</v>
      </c>
      <c r="H37" s="37">
        <v>45924</v>
      </c>
      <c r="I37" s="19"/>
      <c r="J37" s="20"/>
      <c r="K37" s="20"/>
      <c r="L37" s="20"/>
    </row>
    <row r="38" spans="1:12">
      <c r="A38" s="12">
        <v>30</v>
      </c>
      <c r="B38" s="20" t="s">
        <v>188</v>
      </c>
      <c r="C38" s="20"/>
      <c r="D38" s="20"/>
      <c r="E38" s="17" t="s">
        <v>58</v>
      </c>
      <c r="F38" s="17" t="s">
        <v>62</v>
      </c>
      <c r="G38" s="37">
        <v>45917</v>
      </c>
      <c r="H38" s="37">
        <v>45924</v>
      </c>
      <c r="I38" s="19"/>
      <c r="J38" s="22"/>
      <c r="K38" s="20"/>
      <c r="L38" s="20"/>
    </row>
    <row r="39" spans="1:12">
      <c r="A39" s="12">
        <v>31</v>
      </c>
      <c r="B39" s="20" t="s">
        <v>189</v>
      </c>
      <c r="C39" s="20"/>
      <c r="D39" s="20"/>
      <c r="E39" s="16">
        <v>1</v>
      </c>
      <c r="F39" s="17" t="s">
        <v>60</v>
      </c>
      <c r="G39" s="37">
        <v>45917</v>
      </c>
      <c r="H39" s="37">
        <v>45924</v>
      </c>
      <c r="I39" s="19"/>
      <c r="J39" s="22"/>
      <c r="K39" s="20"/>
      <c r="L39" s="20"/>
    </row>
    <row r="40" spans="1:12">
      <c r="A40" s="12">
        <v>32</v>
      </c>
      <c r="B40" s="20" t="s">
        <v>190</v>
      </c>
      <c r="C40" s="21"/>
      <c r="D40" s="17"/>
      <c r="E40" s="17" t="s">
        <v>58</v>
      </c>
      <c r="F40" s="17" t="s">
        <v>111</v>
      </c>
      <c r="G40" s="37">
        <v>45917</v>
      </c>
      <c r="H40" s="37">
        <v>45924</v>
      </c>
      <c r="I40" s="19"/>
      <c r="J40" s="20"/>
      <c r="K40" s="20"/>
      <c r="L40" s="20"/>
    </row>
    <row r="41" spans="1:12">
      <c r="A41" s="12">
        <v>33</v>
      </c>
      <c r="B41" s="20" t="s">
        <v>191</v>
      </c>
      <c r="C41" s="20"/>
      <c r="D41" s="20"/>
      <c r="E41" s="17">
        <v>1</v>
      </c>
      <c r="F41" s="17" t="s">
        <v>60</v>
      </c>
      <c r="G41" s="37">
        <v>45917</v>
      </c>
      <c r="H41" s="37">
        <v>45924</v>
      </c>
      <c r="I41" s="19"/>
      <c r="J41" s="20"/>
      <c r="K41" s="20"/>
      <c r="L41" s="20"/>
    </row>
    <row r="42" spans="1:12">
      <c r="A42" s="12">
        <v>34</v>
      </c>
      <c r="B42" s="20" t="s">
        <v>192</v>
      </c>
      <c r="C42" s="20"/>
      <c r="D42" s="39"/>
      <c r="E42" s="17">
        <v>1</v>
      </c>
      <c r="F42" s="17" t="s">
        <v>62</v>
      </c>
      <c r="G42" s="37">
        <v>45917</v>
      </c>
      <c r="H42" s="37">
        <v>45924</v>
      </c>
      <c r="I42" s="19"/>
      <c r="J42" s="20"/>
      <c r="K42" s="20"/>
      <c r="L42" s="20"/>
    </row>
    <row r="43" spans="1:12">
      <c r="A43" s="12">
        <v>35</v>
      </c>
      <c r="B43" s="20" t="s">
        <v>193</v>
      </c>
      <c r="C43" s="20"/>
      <c r="D43" s="20"/>
      <c r="E43" s="17">
        <v>41</v>
      </c>
      <c r="F43" s="17" t="s">
        <v>57</v>
      </c>
      <c r="G43" s="37">
        <v>45917</v>
      </c>
      <c r="H43" s="37">
        <v>45924</v>
      </c>
      <c r="I43" s="19"/>
      <c r="J43" s="20"/>
      <c r="K43" s="20"/>
      <c r="L43" s="20"/>
    </row>
    <row r="44" spans="1:12">
      <c r="A44" s="12">
        <v>36</v>
      </c>
      <c r="B44" s="20" t="s">
        <v>194</v>
      </c>
      <c r="C44" s="20"/>
      <c r="D44" s="20"/>
      <c r="E44" s="17" t="s">
        <v>58</v>
      </c>
      <c r="F44" s="17" t="s">
        <v>62</v>
      </c>
      <c r="G44" s="37">
        <v>45766</v>
      </c>
      <c r="H44" s="37">
        <v>45924</v>
      </c>
      <c r="I44" s="19"/>
      <c r="J44" s="22"/>
      <c r="K44" s="20"/>
      <c r="L44" s="20"/>
    </row>
    <row r="45" spans="1:12">
      <c r="A45" s="12">
        <v>37</v>
      </c>
      <c r="B45" s="20" t="s">
        <v>195</v>
      </c>
      <c r="C45" s="20"/>
      <c r="D45" s="20"/>
      <c r="E45" s="17">
        <v>1</v>
      </c>
      <c r="F45" s="17" t="s">
        <v>62</v>
      </c>
      <c r="G45" s="37">
        <v>45918</v>
      </c>
      <c r="H45" s="37">
        <v>45925</v>
      </c>
      <c r="I45" s="19"/>
      <c r="J45" s="20"/>
      <c r="K45" s="20"/>
      <c r="L45" s="20"/>
    </row>
    <row r="46" spans="1:12">
      <c r="A46" s="12">
        <v>38</v>
      </c>
      <c r="B46" s="20" t="s">
        <v>196</v>
      </c>
      <c r="C46" s="20"/>
      <c r="D46" s="20"/>
      <c r="E46" s="17">
        <v>2</v>
      </c>
      <c r="F46" s="17" t="s">
        <v>62</v>
      </c>
      <c r="G46" s="37">
        <v>45918</v>
      </c>
      <c r="H46" s="37">
        <v>45925</v>
      </c>
      <c r="I46" s="19"/>
      <c r="J46" s="22"/>
      <c r="K46" s="20"/>
      <c r="L46" s="20"/>
    </row>
    <row r="47" spans="1:12">
      <c r="A47" s="12">
        <v>39</v>
      </c>
      <c r="B47" s="20" t="s">
        <v>197</v>
      </c>
      <c r="C47" s="20"/>
      <c r="D47" s="20"/>
      <c r="E47" s="17">
        <v>1</v>
      </c>
      <c r="F47" s="17" t="s">
        <v>57</v>
      </c>
      <c r="G47" s="37">
        <v>45917</v>
      </c>
      <c r="H47" s="37">
        <v>45924</v>
      </c>
      <c r="I47" s="19"/>
      <c r="J47" s="22"/>
      <c r="K47" s="20"/>
      <c r="L47" s="20"/>
    </row>
    <row r="48" spans="1:12">
      <c r="A48" s="12">
        <v>40</v>
      </c>
      <c r="B48" s="20" t="s">
        <v>198</v>
      </c>
      <c r="C48" s="20"/>
      <c r="D48" s="20"/>
      <c r="E48" s="17">
        <v>1</v>
      </c>
      <c r="F48" s="17" t="s">
        <v>57</v>
      </c>
      <c r="G48" s="37">
        <v>45917</v>
      </c>
      <c r="H48" s="37">
        <v>45924</v>
      </c>
      <c r="I48" s="19"/>
      <c r="J48" s="20"/>
      <c r="K48" s="20"/>
      <c r="L48" s="20"/>
    </row>
    <row r="49" spans="1:12">
      <c r="A49" s="12">
        <v>41</v>
      </c>
      <c r="B49" s="20" t="s">
        <v>199</v>
      </c>
      <c r="C49" s="20"/>
      <c r="D49" s="20"/>
      <c r="E49" s="17">
        <v>3</v>
      </c>
      <c r="F49" s="17" t="s">
        <v>57</v>
      </c>
      <c r="G49" s="37">
        <v>45917</v>
      </c>
      <c r="H49" s="37">
        <v>45924</v>
      </c>
      <c r="I49" s="19"/>
      <c r="J49" s="20"/>
      <c r="K49" s="20"/>
      <c r="L49" s="20"/>
    </row>
    <row r="50" spans="1:12">
      <c r="A50" s="12">
        <v>42</v>
      </c>
      <c r="B50" s="20" t="s">
        <v>200</v>
      </c>
      <c r="C50" s="20"/>
      <c r="D50" s="39"/>
      <c r="E50" s="17">
        <v>1</v>
      </c>
      <c r="F50" s="17" t="s">
        <v>137</v>
      </c>
      <c r="G50" s="37">
        <v>45917</v>
      </c>
      <c r="H50" s="37">
        <v>45924</v>
      </c>
      <c r="I50" s="19"/>
      <c r="J50" s="22"/>
      <c r="K50" s="20"/>
      <c r="L50" s="20"/>
    </row>
    <row r="51" spans="1:12">
      <c r="A51" s="12">
        <v>43</v>
      </c>
      <c r="B51" s="20" t="s">
        <v>201</v>
      </c>
      <c r="C51" s="20"/>
      <c r="D51" s="20"/>
      <c r="E51" s="16">
        <v>2</v>
      </c>
      <c r="F51" s="17" t="s">
        <v>62</v>
      </c>
      <c r="G51" s="37">
        <v>45917</v>
      </c>
      <c r="H51" s="37">
        <v>45924</v>
      </c>
      <c r="I51" s="19"/>
      <c r="J51" s="20"/>
      <c r="K51" s="20"/>
      <c r="L51" s="20"/>
    </row>
    <row r="52" spans="1:12">
      <c r="A52" s="12">
        <v>44</v>
      </c>
      <c r="B52" s="20" t="s">
        <v>202</v>
      </c>
      <c r="C52" s="20"/>
      <c r="D52" s="20"/>
      <c r="E52" s="17" t="s">
        <v>58</v>
      </c>
      <c r="F52" s="17" t="s">
        <v>62</v>
      </c>
      <c r="G52" s="37">
        <v>45917</v>
      </c>
      <c r="H52" s="37">
        <v>45924</v>
      </c>
      <c r="I52" s="19"/>
      <c r="J52" s="20"/>
      <c r="K52" s="20"/>
      <c r="L52" s="20"/>
    </row>
    <row r="53" spans="1:12">
      <c r="A53" s="12">
        <v>45</v>
      </c>
      <c r="B53" s="20" t="s">
        <v>203</v>
      </c>
      <c r="C53" s="20"/>
      <c r="D53" s="20"/>
      <c r="E53" s="17">
        <v>1</v>
      </c>
      <c r="F53" s="17" t="s">
        <v>76</v>
      </c>
      <c r="G53" s="37">
        <v>45917</v>
      </c>
      <c r="H53" s="37">
        <v>45924</v>
      </c>
      <c r="I53" s="19"/>
      <c r="J53" s="20"/>
      <c r="K53" s="20"/>
      <c r="L53" s="20"/>
    </row>
    <row r="54" spans="1:12">
      <c r="A54" s="12">
        <v>46</v>
      </c>
      <c r="B54" s="20" t="s">
        <v>204</v>
      </c>
      <c r="C54" s="20"/>
      <c r="D54" s="20"/>
      <c r="E54" s="16">
        <v>1</v>
      </c>
      <c r="F54" s="17" t="s">
        <v>60</v>
      </c>
      <c r="G54" s="37">
        <v>45917</v>
      </c>
      <c r="H54" s="37">
        <v>45924</v>
      </c>
      <c r="I54" s="19"/>
      <c r="J54" s="20"/>
      <c r="K54" s="20"/>
      <c r="L54" s="20"/>
    </row>
    <row r="55" spans="1:12">
      <c r="A55" s="12">
        <v>47</v>
      </c>
      <c r="B55" s="20" t="s">
        <v>205</v>
      </c>
      <c r="C55" s="20"/>
      <c r="D55" s="20"/>
      <c r="E55" s="17">
        <v>1</v>
      </c>
      <c r="F55" s="17" t="s">
        <v>57</v>
      </c>
      <c r="G55" s="37">
        <v>45917</v>
      </c>
      <c r="H55" s="37">
        <v>45924</v>
      </c>
      <c r="I55" s="19"/>
      <c r="J55" s="20"/>
      <c r="K55" s="20"/>
      <c r="L55" s="20"/>
    </row>
    <row r="56" spans="1:12">
      <c r="A56" s="12">
        <v>48</v>
      </c>
      <c r="B56" s="20" t="s">
        <v>206</v>
      </c>
      <c r="C56" s="20"/>
      <c r="D56" s="20"/>
      <c r="E56" s="17" t="s">
        <v>112</v>
      </c>
      <c r="F56" s="17" t="s">
        <v>57</v>
      </c>
      <c r="G56" s="37">
        <v>45917</v>
      </c>
      <c r="H56" s="37">
        <v>45924</v>
      </c>
      <c r="I56" s="19"/>
      <c r="J56" s="20"/>
      <c r="K56" s="20"/>
      <c r="L56" s="20"/>
    </row>
    <row r="57" spans="1:12">
      <c r="A57" s="12">
        <v>49</v>
      </c>
      <c r="B57" s="20" t="s">
        <v>207</v>
      </c>
      <c r="C57" s="20"/>
      <c r="D57" s="39"/>
      <c r="E57" s="17" t="s">
        <v>71</v>
      </c>
      <c r="F57" s="17" t="s">
        <v>62</v>
      </c>
      <c r="G57" s="37">
        <v>45917</v>
      </c>
      <c r="H57" s="37">
        <v>45924</v>
      </c>
      <c r="I57" s="19"/>
      <c r="J57" s="20"/>
      <c r="K57" s="20"/>
      <c r="L57" s="20"/>
    </row>
  </sheetData>
  <sortState ref="B9:I68">
    <sortCondition ref="B9"/>
  </sortState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57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Q68"/>
  <sheetViews>
    <sheetView topLeftCell="A36" zoomScale="98" zoomScaleNormal="45" workbookViewId="0">
      <selection activeCell="B9" sqref="B9:B68"/>
    </sheetView>
  </sheetViews>
  <sheetFormatPr defaultRowHeight="13.8"/>
  <cols>
    <col min="1" max="1" width="4.09765625" customWidth="1"/>
    <col min="2" max="2" width="17.69921875" customWidth="1"/>
    <col min="3" max="3" width="13.3984375" customWidth="1"/>
    <col min="4" max="4" width="13.5" customWidth="1"/>
    <col min="5" max="5" width="13.69921875" customWidth="1"/>
    <col min="6" max="6" width="13.8984375" customWidth="1"/>
    <col min="7" max="7" width="10.69921875" customWidth="1"/>
    <col min="8" max="8" width="10.5" customWidth="1"/>
    <col min="9" max="9" width="8.8984375" customWidth="1"/>
  </cols>
  <sheetData>
    <row r="1" spans="1:17" ht="22.2">
      <c r="A1" s="58">
        <v>45925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7">
      <c r="A2" s="59" t="s">
        <v>0</v>
      </c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7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63"/>
      <c r="L3" s="63"/>
    </row>
    <row r="4" spans="1:17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63"/>
      <c r="L4" s="63"/>
    </row>
    <row r="5" spans="1:17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63"/>
      <c r="L5" s="63"/>
    </row>
    <row r="6" spans="1:17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63"/>
      <c r="L6" s="63"/>
    </row>
    <row r="7" spans="1:17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63"/>
      <c r="L7" s="63"/>
    </row>
    <row r="8" spans="1:17" ht="41.4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7">
      <c r="A9" s="12">
        <v>1</v>
      </c>
      <c r="B9" s="12" t="s">
        <v>159</v>
      </c>
      <c r="C9" s="21"/>
      <c r="D9" s="17"/>
      <c r="E9" s="16">
        <v>1</v>
      </c>
      <c r="F9" s="17" t="s">
        <v>57</v>
      </c>
      <c r="G9" s="37">
        <v>45918</v>
      </c>
      <c r="H9" s="37">
        <v>45925</v>
      </c>
      <c r="I9" s="19"/>
      <c r="J9" s="20"/>
      <c r="K9" s="20"/>
      <c r="L9" s="20"/>
    </row>
    <row r="10" spans="1:17">
      <c r="A10" s="12">
        <v>2</v>
      </c>
      <c r="B10" s="12" t="s">
        <v>160</v>
      </c>
      <c r="C10" s="20"/>
      <c r="D10" s="20"/>
      <c r="E10" s="17" t="s">
        <v>58</v>
      </c>
      <c r="F10" s="17" t="s">
        <v>59</v>
      </c>
      <c r="G10" s="37">
        <v>45922</v>
      </c>
      <c r="H10" s="37">
        <v>45925</v>
      </c>
      <c r="I10" s="19"/>
      <c r="J10" s="22"/>
      <c r="K10" s="23"/>
      <c r="L10" s="23"/>
    </row>
    <row r="11" spans="1:17">
      <c r="A11" s="12">
        <v>3</v>
      </c>
      <c r="B11" s="12" t="s">
        <v>161</v>
      </c>
      <c r="C11" s="20"/>
      <c r="D11" s="20"/>
      <c r="E11" s="17" t="s">
        <v>61</v>
      </c>
      <c r="F11" s="17" t="s">
        <v>62</v>
      </c>
      <c r="G11" s="37">
        <v>45918</v>
      </c>
      <c r="H11" s="37">
        <v>45925</v>
      </c>
      <c r="I11" s="19"/>
      <c r="J11" s="20"/>
      <c r="K11" s="20"/>
      <c r="L11" s="20"/>
      <c r="Q11" t="s">
        <v>81</v>
      </c>
    </row>
    <row r="12" spans="1:17">
      <c r="A12" s="12">
        <v>4</v>
      </c>
      <c r="B12" s="12" t="s">
        <v>162</v>
      </c>
      <c r="C12" s="20"/>
      <c r="D12" s="20"/>
      <c r="E12" s="17" t="s">
        <v>58</v>
      </c>
      <c r="F12" s="17" t="s">
        <v>59</v>
      </c>
      <c r="G12" s="37">
        <v>45922</v>
      </c>
      <c r="H12" s="37">
        <v>45925</v>
      </c>
      <c r="I12" s="19"/>
      <c r="J12" s="20"/>
      <c r="K12" s="20"/>
      <c r="L12" s="20"/>
    </row>
    <row r="13" spans="1:17">
      <c r="A13" s="12">
        <v>5</v>
      </c>
      <c r="B13" s="12" t="s">
        <v>163</v>
      </c>
      <c r="C13" s="20"/>
      <c r="D13" s="20"/>
      <c r="E13" s="17" t="s">
        <v>58</v>
      </c>
      <c r="F13" s="17" t="s">
        <v>59</v>
      </c>
      <c r="G13" s="37">
        <v>45922</v>
      </c>
      <c r="H13" s="37">
        <v>45925</v>
      </c>
      <c r="I13" s="19"/>
      <c r="J13" s="22"/>
      <c r="K13" s="23"/>
      <c r="L13" s="23"/>
    </row>
    <row r="14" spans="1:17">
      <c r="A14" s="12">
        <v>6</v>
      </c>
      <c r="B14" s="12" t="s">
        <v>164</v>
      </c>
      <c r="C14" s="20"/>
      <c r="D14" s="20"/>
      <c r="E14" s="17">
        <v>1</v>
      </c>
      <c r="F14" s="17" t="s">
        <v>60</v>
      </c>
      <c r="G14" s="18">
        <v>45918</v>
      </c>
      <c r="H14" s="37">
        <v>45925</v>
      </c>
      <c r="I14" s="17"/>
      <c r="J14" s="22"/>
      <c r="K14" s="23"/>
      <c r="L14" s="23"/>
    </row>
    <row r="15" spans="1:17">
      <c r="A15" s="12">
        <v>7</v>
      </c>
      <c r="B15" s="12" t="s">
        <v>165</v>
      </c>
      <c r="C15" s="20"/>
      <c r="D15" s="20"/>
      <c r="E15" s="17">
        <v>1</v>
      </c>
      <c r="F15" s="17" t="s">
        <v>60</v>
      </c>
      <c r="G15" s="18">
        <v>45918</v>
      </c>
      <c r="H15" s="37">
        <v>45925</v>
      </c>
      <c r="I15" s="17"/>
      <c r="J15" s="20"/>
      <c r="K15" s="20"/>
      <c r="L15" s="20"/>
    </row>
    <row r="16" spans="1:17">
      <c r="A16" s="12">
        <v>8</v>
      </c>
      <c r="B16" s="12" t="s">
        <v>166</v>
      </c>
      <c r="C16" s="20"/>
      <c r="D16" s="20"/>
      <c r="E16" s="17" t="s">
        <v>71</v>
      </c>
      <c r="F16" s="17" t="s">
        <v>59</v>
      </c>
      <c r="G16" s="37">
        <v>45922</v>
      </c>
      <c r="H16" s="37">
        <v>45925</v>
      </c>
      <c r="I16" s="19"/>
      <c r="J16" s="22"/>
      <c r="K16" s="23"/>
      <c r="L16" s="23"/>
    </row>
    <row r="17" spans="1:12">
      <c r="A17" s="12">
        <v>9</v>
      </c>
      <c r="B17" s="12" t="s">
        <v>167</v>
      </c>
      <c r="C17" s="20"/>
      <c r="D17" s="20"/>
      <c r="E17" s="17" t="s">
        <v>58</v>
      </c>
      <c r="F17" s="17" t="s">
        <v>59</v>
      </c>
      <c r="G17" s="37">
        <v>45922</v>
      </c>
      <c r="H17" s="37">
        <v>45925</v>
      </c>
      <c r="I17" s="19"/>
      <c r="J17" s="22"/>
      <c r="K17" s="23"/>
      <c r="L17" s="23"/>
    </row>
    <row r="18" spans="1:12">
      <c r="A18" s="12">
        <v>10</v>
      </c>
      <c r="B18" s="12" t="s">
        <v>168</v>
      </c>
      <c r="C18" s="20"/>
      <c r="D18" s="20"/>
      <c r="E18" s="17">
        <v>1</v>
      </c>
      <c r="F18" s="17" t="s">
        <v>60</v>
      </c>
      <c r="G18" s="18">
        <v>45918</v>
      </c>
      <c r="H18" s="37">
        <v>45925</v>
      </c>
      <c r="I18" s="17"/>
      <c r="J18" s="20"/>
      <c r="K18" s="20"/>
      <c r="L18" s="20"/>
    </row>
    <row r="19" spans="1:12">
      <c r="A19" s="12">
        <v>11</v>
      </c>
      <c r="B19" s="12" t="s">
        <v>169</v>
      </c>
      <c r="C19" s="20"/>
      <c r="D19" s="20"/>
      <c r="E19" s="17">
        <v>1</v>
      </c>
      <c r="F19" s="17" t="s">
        <v>57</v>
      </c>
      <c r="G19" s="37">
        <v>45918</v>
      </c>
      <c r="H19" s="37">
        <v>45925</v>
      </c>
      <c r="I19" s="19"/>
      <c r="J19" s="22"/>
      <c r="K19" s="20"/>
      <c r="L19" s="20"/>
    </row>
    <row r="20" spans="1:12">
      <c r="A20" s="12">
        <v>12</v>
      </c>
      <c r="B20" s="12" t="s">
        <v>170</v>
      </c>
      <c r="C20" s="20"/>
      <c r="D20" s="20"/>
      <c r="E20" s="17" t="s">
        <v>77</v>
      </c>
      <c r="F20" s="17" t="s">
        <v>57</v>
      </c>
      <c r="G20" s="37">
        <v>45918</v>
      </c>
      <c r="H20" s="37">
        <v>45925</v>
      </c>
      <c r="I20" s="19"/>
      <c r="J20" s="22"/>
      <c r="K20" s="23"/>
      <c r="L20" s="23"/>
    </row>
    <row r="21" spans="1:12">
      <c r="A21" s="12">
        <v>13</v>
      </c>
      <c r="B21" s="12" t="s">
        <v>171</v>
      </c>
      <c r="C21" s="20"/>
      <c r="D21" s="20"/>
      <c r="E21" s="17">
        <v>1</v>
      </c>
      <c r="F21" s="17" t="s">
        <v>57</v>
      </c>
      <c r="G21" s="37">
        <v>45918</v>
      </c>
      <c r="H21" s="37">
        <v>45925</v>
      </c>
      <c r="I21" s="19"/>
      <c r="J21" s="22"/>
      <c r="K21" s="23"/>
      <c r="L21" s="23"/>
    </row>
    <row r="22" spans="1:12">
      <c r="A22" s="12">
        <v>14</v>
      </c>
      <c r="B22" s="12" t="s">
        <v>172</v>
      </c>
      <c r="C22" s="20"/>
      <c r="D22" s="20"/>
      <c r="E22" s="17" t="s">
        <v>140</v>
      </c>
      <c r="F22" s="17" t="s">
        <v>57</v>
      </c>
      <c r="G22" s="37">
        <v>45918</v>
      </c>
      <c r="H22" s="37">
        <v>45925</v>
      </c>
      <c r="I22" s="19"/>
      <c r="J22" s="20"/>
      <c r="K22" s="20"/>
      <c r="L22" s="20"/>
    </row>
    <row r="23" spans="1:12">
      <c r="A23" s="12">
        <v>15</v>
      </c>
      <c r="B23" s="12" t="s">
        <v>173</v>
      </c>
      <c r="C23" s="20"/>
      <c r="D23" s="39"/>
      <c r="E23" s="17">
        <v>1</v>
      </c>
      <c r="F23" s="17" t="s">
        <v>56</v>
      </c>
      <c r="G23" s="37">
        <v>45918</v>
      </c>
      <c r="H23" s="37">
        <v>45925</v>
      </c>
      <c r="I23" s="19"/>
      <c r="J23" s="20"/>
      <c r="K23" s="20"/>
      <c r="L23" s="20"/>
    </row>
    <row r="24" spans="1:12">
      <c r="A24" s="12">
        <v>16</v>
      </c>
      <c r="B24" s="12" t="s">
        <v>174</v>
      </c>
      <c r="C24" s="20"/>
      <c r="D24" s="20"/>
      <c r="E24" s="17">
        <v>1</v>
      </c>
      <c r="F24" s="17" t="s">
        <v>60</v>
      </c>
      <c r="G24" s="18">
        <v>45918</v>
      </c>
      <c r="H24" s="37">
        <v>45925</v>
      </c>
      <c r="I24" s="17"/>
      <c r="J24" s="22"/>
      <c r="K24" s="23"/>
      <c r="L24" s="23"/>
    </row>
    <row r="25" spans="1:12">
      <c r="A25" s="12">
        <v>17</v>
      </c>
      <c r="B25" s="12" t="s">
        <v>175</v>
      </c>
      <c r="C25" s="20"/>
      <c r="D25" s="20"/>
      <c r="E25" s="17">
        <v>1</v>
      </c>
      <c r="F25" s="17" t="s">
        <v>60</v>
      </c>
      <c r="G25" s="37">
        <v>45918</v>
      </c>
      <c r="H25" s="37">
        <v>45925</v>
      </c>
      <c r="I25" s="19"/>
      <c r="J25" s="22"/>
      <c r="K25" s="23"/>
      <c r="L25" s="23"/>
    </row>
    <row r="26" spans="1:12">
      <c r="A26" s="12">
        <v>18</v>
      </c>
      <c r="B26" s="12" t="s">
        <v>176</v>
      </c>
      <c r="C26" s="21"/>
      <c r="D26" s="17"/>
      <c r="E26" s="17">
        <v>1</v>
      </c>
      <c r="F26" s="17" t="s">
        <v>60</v>
      </c>
      <c r="G26" s="18">
        <v>45918</v>
      </c>
      <c r="H26" s="37">
        <v>45925</v>
      </c>
      <c r="I26" s="17"/>
      <c r="J26" s="22"/>
      <c r="K26" s="23"/>
      <c r="L26" s="23"/>
    </row>
    <row r="27" spans="1:12">
      <c r="A27" s="12">
        <v>19</v>
      </c>
      <c r="B27" s="12" t="s">
        <v>177</v>
      </c>
      <c r="C27" s="20"/>
      <c r="D27" s="20"/>
      <c r="E27" s="17" t="s">
        <v>97</v>
      </c>
      <c r="F27" s="17" t="s">
        <v>57</v>
      </c>
      <c r="G27" s="37">
        <v>45922</v>
      </c>
      <c r="H27" s="37">
        <v>45925</v>
      </c>
      <c r="I27" s="19"/>
      <c r="J27" s="20"/>
      <c r="K27" s="20"/>
      <c r="L27" s="20"/>
    </row>
    <row r="28" spans="1:12">
      <c r="A28" s="12">
        <v>20</v>
      </c>
      <c r="B28" s="12" t="s">
        <v>178</v>
      </c>
      <c r="C28" s="21"/>
      <c r="D28" s="39"/>
      <c r="E28" s="17">
        <v>1</v>
      </c>
      <c r="F28" s="17" t="s">
        <v>60</v>
      </c>
      <c r="G28" s="18">
        <v>45918</v>
      </c>
      <c r="H28" s="37">
        <v>45925</v>
      </c>
      <c r="I28" s="17"/>
      <c r="J28" s="22"/>
      <c r="K28" s="23"/>
      <c r="L28" s="23"/>
    </row>
    <row r="29" spans="1:12">
      <c r="A29" s="12">
        <v>21</v>
      </c>
      <c r="B29" s="12" t="s">
        <v>179</v>
      </c>
      <c r="C29" s="21"/>
      <c r="D29" s="17"/>
      <c r="E29" s="16" t="s">
        <v>58</v>
      </c>
      <c r="F29" s="17" t="s">
        <v>59</v>
      </c>
      <c r="G29" s="37">
        <v>45918</v>
      </c>
      <c r="H29" s="37">
        <v>45925</v>
      </c>
      <c r="I29" s="17"/>
      <c r="J29" s="22"/>
      <c r="K29" s="23"/>
      <c r="L29" s="23"/>
    </row>
    <row r="30" spans="1:12">
      <c r="A30" s="12">
        <v>22</v>
      </c>
      <c r="B30" s="12" t="s">
        <v>180</v>
      </c>
      <c r="C30" s="20"/>
      <c r="D30" s="39"/>
      <c r="E30" s="17">
        <v>1</v>
      </c>
      <c r="F30" s="17" t="s">
        <v>57</v>
      </c>
      <c r="G30" s="37">
        <v>45918</v>
      </c>
      <c r="H30" s="37">
        <v>45925</v>
      </c>
      <c r="I30" s="19"/>
      <c r="J30" s="20"/>
      <c r="K30" s="20"/>
      <c r="L30" s="20"/>
    </row>
    <row r="31" spans="1:12">
      <c r="A31" s="12">
        <v>23</v>
      </c>
      <c r="B31" s="12" t="s">
        <v>181</v>
      </c>
      <c r="C31" s="20"/>
      <c r="D31" s="39"/>
      <c r="E31" s="17">
        <v>1</v>
      </c>
      <c r="F31" s="17" t="s">
        <v>57</v>
      </c>
      <c r="G31" s="37">
        <v>45918</v>
      </c>
      <c r="H31" s="37">
        <v>45925</v>
      </c>
      <c r="I31" s="19"/>
      <c r="J31" s="22"/>
      <c r="K31" s="23"/>
      <c r="L31" s="23"/>
    </row>
    <row r="32" spans="1:12">
      <c r="A32" s="12">
        <v>24</v>
      </c>
      <c r="B32" s="12" t="s">
        <v>182</v>
      </c>
      <c r="C32" s="20"/>
      <c r="D32" s="20"/>
      <c r="E32" s="17" t="s">
        <v>145</v>
      </c>
      <c r="F32" s="17" t="s">
        <v>57</v>
      </c>
      <c r="G32" s="37">
        <v>45918</v>
      </c>
      <c r="H32" s="37">
        <v>45925</v>
      </c>
      <c r="I32" s="17"/>
      <c r="J32" s="20"/>
      <c r="K32" s="20"/>
      <c r="L32" s="20"/>
    </row>
    <row r="33" spans="1:12">
      <c r="A33" s="12">
        <v>25</v>
      </c>
      <c r="B33" s="12" t="s">
        <v>183</v>
      </c>
      <c r="C33" s="20"/>
      <c r="D33" s="20"/>
      <c r="E33" s="17">
        <v>1</v>
      </c>
      <c r="F33" s="17" t="s">
        <v>57</v>
      </c>
      <c r="G33" s="37">
        <v>45918</v>
      </c>
      <c r="H33" s="37">
        <v>45925</v>
      </c>
      <c r="I33" s="19"/>
      <c r="J33" s="20"/>
      <c r="K33" s="20"/>
      <c r="L33" s="20"/>
    </row>
    <row r="34" spans="1:12">
      <c r="A34" s="12">
        <v>26</v>
      </c>
      <c r="B34" s="12" t="s">
        <v>184</v>
      </c>
      <c r="C34" s="20"/>
      <c r="D34" s="20"/>
      <c r="E34" s="17" t="s">
        <v>145</v>
      </c>
      <c r="F34" s="17" t="s">
        <v>57</v>
      </c>
      <c r="G34" s="37">
        <v>45918</v>
      </c>
      <c r="H34" s="37">
        <v>45925</v>
      </c>
      <c r="I34" s="19"/>
      <c r="J34" s="17"/>
      <c r="K34" s="20"/>
      <c r="L34" s="20"/>
    </row>
    <row r="35" spans="1:12">
      <c r="A35" s="12">
        <v>27</v>
      </c>
      <c r="B35" s="12" t="s">
        <v>185</v>
      </c>
      <c r="C35" s="20"/>
      <c r="D35" s="20"/>
      <c r="E35" s="17">
        <v>1</v>
      </c>
      <c r="F35" s="17" t="s">
        <v>62</v>
      </c>
      <c r="G35" s="37">
        <v>45918</v>
      </c>
      <c r="H35" s="37">
        <v>45925</v>
      </c>
      <c r="I35" s="19"/>
      <c r="J35" s="20"/>
      <c r="K35" s="20"/>
      <c r="L35" s="20"/>
    </row>
    <row r="36" spans="1:12">
      <c r="A36" s="12">
        <v>28</v>
      </c>
      <c r="B36" s="12" t="s">
        <v>186</v>
      </c>
      <c r="C36" s="20"/>
      <c r="D36" s="20"/>
      <c r="E36" s="17">
        <v>2</v>
      </c>
      <c r="F36" s="17" t="s">
        <v>62</v>
      </c>
      <c r="G36" s="37">
        <v>45918</v>
      </c>
      <c r="H36" s="37">
        <v>45925</v>
      </c>
      <c r="I36" s="19"/>
      <c r="J36" s="20"/>
      <c r="K36" s="20"/>
      <c r="L36" s="20"/>
    </row>
    <row r="37" spans="1:12">
      <c r="A37" s="12">
        <v>29</v>
      </c>
      <c r="B37" s="12" t="s">
        <v>187</v>
      </c>
      <c r="C37" s="21"/>
      <c r="D37" s="17"/>
      <c r="E37" s="17">
        <v>1</v>
      </c>
      <c r="F37" s="17" t="s">
        <v>60</v>
      </c>
      <c r="G37" s="18">
        <v>45918</v>
      </c>
      <c r="H37" s="37">
        <v>45925</v>
      </c>
      <c r="I37" s="17"/>
      <c r="J37" s="20"/>
      <c r="K37" s="20"/>
      <c r="L37" s="20"/>
    </row>
    <row r="38" spans="1:12">
      <c r="A38" s="12">
        <v>30</v>
      </c>
      <c r="B38" s="12" t="s">
        <v>188</v>
      </c>
      <c r="C38" s="20"/>
      <c r="D38" s="20"/>
      <c r="E38" s="17" t="s">
        <v>58</v>
      </c>
      <c r="F38" s="17" t="s">
        <v>59</v>
      </c>
      <c r="G38" s="37">
        <v>45922</v>
      </c>
      <c r="H38" s="37">
        <v>45925</v>
      </c>
      <c r="I38" s="19"/>
      <c r="J38" s="20"/>
      <c r="K38" s="20"/>
      <c r="L38" s="20"/>
    </row>
    <row r="39" spans="1:12">
      <c r="A39" s="12">
        <v>31</v>
      </c>
      <c r="B39" s="12" t="s">
        <v>189</v>
      </c>
      <c r="C39" s="20"/>
      <c r="D39" s="20"/>
      <c r="E39" s="17" t="s">
        <v>97</v>
      </c>
      <c r="F39" s="17" t="s">
        <v>57</v>
      </c>
      <c r="G39" s="37">
        <v>45922</v>
      </c>
      <c r="H39" s="37">
        <v>45925</v>
      </c>
      <c r="I39" s="19"/>
      <c r="J39" s="20"/>
      <c r="K39" s="20"/>
      <c r="L39" s="20"/>
    </row>
    <row r="40" spans="1:12">
      <c r="A40" s="12">
        <v>32</v>
      </c>
      <c r="B40" s="12" t="s">
        <v>190</v>
      </c>
      <c r="C40" s="20"/>
      <c r="D40" s="20"/>
      <c r="E40" s="17">
        <v>1</v>
      </c>
      <c r="F40" s="17" t="s">
        <v>62</v>
      </c>
      <c r="G40" s="37">
        <v>45918</v>
      </c>
      <c r="H40" s="37">
        <v>45925</v>
      </c>
      <c r="I40" s="19"/>
      <c r="J40" s="20"/>
      <c r="K40" s="20"/>
      <c r="L40" s="20"/>
    </row>
    <row r="41" spans="1:12">
      <c r="A41" s="12">
        <v>33</v>
      </c>
      <c r="B41" s="12" t="s">
        <v>191</v>
      </c>
      <c r="C41" s="20"/>
      <c r="D41" s="39"/>
      <c r="E41" s="17">
        <v>1</v>
      </c>
      <c r="F41" s="17" t="s">
        <v>57</v>
      </c>
      <c r="G41" s="37">
        <v>45918</v>
      </c>
      <c r="H41" s="37">
        <v>45925</v>
      </c>
      <c r="I41" s="19"/>
      <c r="J41" s="20"/>
      <c r="K41" s="20"/>
      <c r="L41" s="20"/>
    </row>
    <row r="42" spans="1:12">
      <c r="A42" s="12">
        <v>34</v>
      </c>
      <c r="B42" s="12" t="s">
        <v>192</v>
      </c>
      <c r="C42" s="20"/>
      <c r="D42" s="20"/>
      <c r="E42" s="17">
        <v>1</v>
      </c>
      <c r="F42" s="17" t="s">
        <v>60</v>
      </c>
      <c r="G42" s="18">
        <v>45918</v>
      </c>
      <c r="H42" s="37">
        <v>45925</v>
      </c>
      <c r="I42" s="17"/>
      <c r="J42" s="20"/>
      <c r="K42" s="20"/>
      <c r="L42" s="20"/>
    </row>
    <row r="43" spans="1:12">
      <c r="A43" s="12">
        <v>35</v>
      </c>
      <c r="B43" s="12" t="s">
        <v>193</v>
      </c>
      <c r="C43" s="20"/>
      <c r="D43" s="20"/>
      <c r="E43" s="17">
        <v>1</v>
      </c>
      <c r="F43" s="17" t="s">
        <v>57</v>
      </c>
      <c r="G43" s="37">
        <v>45922</v>
      </c>
      <c r="H43" s="37">
        <v>45925</v>
      </c>
      <c r="I43" s="19"/>
      <c r="J43" s="20"/>
      <c r="K43" s="20"/>
      <c r="L43" s="20"/>
    </row>
    <row r="44" spans="1:12">
      <c r="A44" s="12">
        <v>36</v>
      </c>
      <c r="B44" s="12" t="s">
        <v>194</v>
      </c>
      <c r="C44" s="20"/>
      <c r="D44" s="20"/>
      <c r="E44" s="17">
        <v>3</v>
      </c>
      <c r="F44" s="17" t="s">
        <v>57</v>
      </c>
      <c r="G44" s="37">
        <v>45918</v>
      </c>
      <c r="H44" s="37">
        <v>45925</v>
      </c>
      <c r="I44" s="19"/>
      <c r="J44" s="20"/>
      <c r="K44" s="20"/>
      <c r="L44" s="20"/>
    </row>
    <row r="45" spans="1:12">
      <c r="A45" s="12">
        <v>37</v>
      </c>
      <c r="B45" s="12" t="s">
        <v>195</v>
      </c>
      <c r="C45" s="20"/>
      <c r="D45" s="20"/>
      <c r="E45" s="17">
        <v>1</v>
      </c>
      <c r="F45" s="17" t="s">
        <v>57</v>
      </c>
      <c r="G45" s="37">
        <v>45918</v>
      </c>
      <c r="H45" s="37">
        <v>45925</v>
      </c>
      <c r="I45" s="19"/>
      <c r="J45" s="20"/>
      <c r="K45" s="20"/>
      <c r="L45" s="20"/>
    </row>
    <row r="46" spans="1:12">
      <c r="A46" s="12">
        <v>38</v>
      </c>
      <c r="B46" s="12" t="s">
        <v>196</v>
      </c>
      <c r="C46" s="20"/>
      <c r="D46" s="20"/>
      <c r="E46" s="17">
        <v>3</v>
      </c>
      <c r="F46" s="17" t="s">
        <v>57</v>
      </c>
      <c r="G46" s="37">
        <v>45918</v>
      </c>
      <c r="H46" s="37">
        <v>45925</v>
      </c>
      <c r="I46" s="19"/>
      <c r="J46" s="20"/>
      <c r="K46" s="20"/>
      <c r="L46" s="20"/>
    </row>
    <row r="47" spans="1:12">
      <c r="A47" s="12">
        <v>39</v>
      </c>
      <c r="B47" s="12" t="s">
        <v>197</v>
      </c>
      <c r="C47" s="20"/>
      <c r="D47" s="20"/>
      <c r="E47" s="17">
        <v>1</v>
      </c>
      <c r="F47" s="17" t="s">
        <v>57</v>
      </c>
      <c r="G47" s="37">
        <v>45918</v>
      </c>
      <c r="H47" s="37">
        <v>45925</v>
      </c>
      <c r="I47" s="19"/>
      <c r="J47" s="20"/>
      <c r="K47" s="20"/>
      <c r="L47" s="20"/>
    </row>
    <row r="48" spans="1:12">
      <c r="A48" s="12">
        <v>40</v>
      </c>
      <c r="B48" s="12" t="s">
        <v>198</v>
      </c>
      <c r="C48" s="21"/>
      <c r="D48" s="17"/>
      <c r="E48" s="17">
        <v>1</v>
      </c>
      <c r="F48" s="17" t="s">
        <v>60</v>
      </c>
      <c r="G48" s="18">
        <v>45918</v>
      </c>
      <c r="H48" s="37">
        <v>45925</v>
      </c>
      <c r="I48" s="17"/>
      <c r="J48" s="20"/>
      <c r="K48" s="20"/>
      <c r="L48" s="20"/>
    </row>
    <row r="49" spans="1:12">
      <c r="A49" s="12">
        <v>41</v>
      </c>
      <c r="B49" s="12" t="s">
        <v>199</v>
      </c>
      <c r="C49" s="20"/>
      <c r="D49" s="20"/>
      <c r="E49" s="17" t="s">
        <v>58</v>
      </c>
      <c r="F49" s="17" t="s">
        <v>59</v>
      </c>
      <c r="G49" s="37">
        <v>45922</v>
      </c>
      <c r="H49" s="37">
        <v>45925</v>
      </c>
      <c r="I49" s="19"/>
      <c r="J49" s="20"/>
      <c r="K49" s="20"/>
      <c r="L49" s="20"/>
    </row>
    <row r="50" spans="1:12">
      <c r="A50" s="12">
        <v>42</v>
      </c>
      <c r="B50" s="12" t="s">
        <v>200</v>
      </c>
      <c r="C50" s="20"/>
      <c r="D50" s="20"/>
      <c r="E50" s="17">
        <v>1</v>
      </c>
      <c r="F50" s="17" t="s">
        <v>60</v>
      </c>
      <c r="G50" s="37">
        <v>45922</v>
      </c>
      <c r="H50" s="37">
        <v>45925</v>
      </c>
      <c r="I50" s="19"/>
      <c r="J50" s="20"/>
      <c r="K50" s="20"/>
      <c r="L50" s="20"/>
    </row>
    <row r="51" spans="1:12">
      <c r="A51" s="12">
        <v>43</v>
      </c>
      <c r="B51" s="12" t="s">
        <v>201</v>
      </c>
      <c r="C51" s="20"/>
      <c r="D51" s="39"/>
      <c r="E51" s="17">
        <v>1</v>
      </c>
      <c r="F51" s="17" t="s">
        <v>56</v>
      </c>
      <c r="G51" s="37">
        <v>45918</v>
      </c>
      <c r="H51" s="37">
        <v>45925</v>
      </c>
      <c r="I51" s="19"/>
      <c r="J51" s="20"/>
      <c r="K51" s="20"/>
      <c r="L51" s="20"/>
    </row>
    <row r="52" spans="1:12">
      <c r="A52" s="12">
        <v>44</v>
      </c>
      <c r="B52" s="12" t="s">
        <v>202</v>
      </c>
      <c r="C52" s="20"/>
      <c r="D52" s="20"/>
      <c r="E52" s="17">
        <v>1</v>
      </c>
      <c r="F52" s="17" t="s">
        <v>62</v>
      </c>
      <c r="G52" s="37">
        <v>45918</v>
      </c>
      <c r="H52" s="37">
        <v>45925</v>
      </c>
      <c r="I52" s="19"/>
      <c r="J52" s="20"/>
      <c r="K52" s="20"/>
      <c r="L52" s="20"/>
    </row>
    <row r="53" spans="1:12">
      <c r="A53" s="12">
        <v>45</v>
      </c>
      <c r="B53" s="12" t="s">
        <v>203</v>
      </c>
      <c r="C53" s="20"/>
      <c r="D53" s="20"/>
      <c r="E53" s="17" t="s">
        <v>61</v>
      </c>
      <c r="F53" s="17" t="s">
        <v>62</v>
      </c>
      <c r="G53" s="37">
        <v>45918</v>
      </c>
      <c r="H53" s="37">
        <v>45925</v>
      </c>
      <c r="I53" s="17"/>
      <c r="J53" s="20"/>
      <c r="K53" s="20"/>
      <c r="L53" s="20"/>
    </row>
    <row r="54" spans="1:12">
      <c r="A54" s="12">
        <v>46</v>
      </c>
      <c r="B54" s="12" t="s">
        <v>204</v>
      </c>
      <c r="C54" s="20"/>
      <c r="D54" s="20"/>
      <c r="E54" s="17">
        <v>1</v>
      </c>
      <c r="F54" s="17" t="s">
        <v>62</v>
      </c>
      <c r="G54" s="37">
        <v>45918</v>
      </c>
      <c r="H54" s="37">
        <v>45925</v>
      </c>
      <c r="I54" s="19"/>
      <c r="J54" s="20"/>
      <c r="K54" s="20"/>
      <c r="L54" s="20"/>
    </row>
    <row r="55" spans="1:12">
      <c r="A55" s="12">
        <v>47</v>
      </c>
      <c r="B55" s="12" t="s">
        <v>205</v>
      </c>
      <c r="C55" s="21"/>
      <c r="D55" s="17"/>
      <c r="E55" s="17">
        <v>1</v>
      </c>
      <c r="F55" s="17" t="s">
        <v>60</v>
      </c>
      <c r="G55" s="18">
        <v>45918</v>
      </c>
      <c r="H55" s="37">
        <v>45925</v>
      </c>
      <c r="I55" s="17"/>
      <c r="J55" s="20"/>
      <c r="K55" s="20"/>
      <c r="L55" s="20"/>
    </row>
    <row r="56" spans="1:12">
      <c r="A56" s="12">
        <v>48</v>
      </c>
      <c r="B56" s="12" t="s">
        <v>206</v>
      </c>
      <c r="C56" s="20"/>
      <c r="D56" s="20"/>
      <c r="E56" s="17">
        <v>1</v>
      </c>
      <c r="F56" s="17" t="s">
        <v>62</v>
      </c>
      <c r="G56" s="37">
        <v>45918</v>
      </c>
      <c r="H56" s="37">
        <v>45925</v>
      </c>
      <c r="I56" s="19"/>
      <c r="J56" s="20"/>
      <c r="K56" s="20"/>
      <c r="L56" s="20"/>
    </row>
    <row r="57" spans="1:12">
      <c r="A57" s="12">
        <v>49</v>
      </c>
      <c r="B57" s="12" t="s">
        <v>207</v>
      </c>
      <c r="C57" s="14"/>
      <c r="D57" s="17"/>
      <c r="E57" s="17">
        <v>1</v>
      </c>
      <c r="F57" s="17" t="s">
        <v>60</v>
      </c>
      <c r="G57" s="18">
        <v>45918</v>
      </c>
      <c r="H57" s="37">
        <v>45925</v>
      </c>
      <c r="I57" s="17"/>
      <c r="J57" s="20"/>
      <c r="K57" s="20"/>
      <c r="L57" s="20"/>
    </row>
    <row r="58" spans="1:12">
      <c r="A58" s="12">
        <v>50</v>
      </c>
      <c r="B58" s="12" t="s">
        <v>208</v>
      </c>
      <c r="C58" s="20"/>
      <c r="D58" s="20"/>
      <c r="E58" s="17" t="s">
        <v>58</v>
      </c>
      <c r="F58" s="17" t="s">
        <v>59</v>
      </c>
      <c r="G58" s="37">
        <v>45922</v>
      </c>
      <c r="H58" s="37">
        <v>45925</v>
      </c>
      <c r="I58" s="19"/>
      <c r="J58" s="20"/>
      <c r="K58" s="20"/>
      <c r="L58" s="20"/>
    </row>
    <row r="59" spans="1:12" ht="9.75" customHeight="1">
      <c r="A59" s="12">
        <v>51</v>
      </c>
      <c r="B59" s="12" t="s">
        <v>209</v>
      </c>
      <c r="C59" s="20"/>
      <c r="D59" s="20"/>
      <c r="E59" s="17">
        <v>1</v>
      </c>
      <c r="F59" s="17" t="s">
        <v>60</v>
      </c>
      <c r="G59" s="18">
        <v>45918</v>
      </c>
      <c r="H59" s="37">
        <v>45925</v>
      </c>
      <c r="I59" s="17"/>
      <c r="J59" s="20"/>
      <c r="K59" s="20"/>
      <c r="L59" s="20"/>
    </row>
    <row r="60" spans="1:12" hidden="1">
      <c r="A60" s="12">
        <v>52</v>
      </c>
      <c r="B60" s="12" t="s">
        <v>210</v>
      </c>
      <c r="C60" s="20"/>
      <c r="D60" s="20"/>
      <c r="E60" s="20"/>
      <c r="F60" s="20"/>
      <c r="G60" s="37">
        <v>45922</v>
      </c>
      <c r="H60" s="37">
        <v>45925</v>
      </c>
      <c r="I60" s="19"/>
      <c r="J60" s="20"/>
      <c r="K60" s="20"/>
      <c r="L60" s="20"/>
    </row>
    <row r="61" spans="1:12">
      <c r="A61" s="12">
        <v>53</v>
      </c>
      <c r="B61" s="12" t="s">
        <v>211</v>
      </c>
      <c r="C61" s="20"/>
      <c r="D61" s="20"/>
      <c r="E61" s="17">
        <v>1</v>
      </c>
      <c r="F61" s="17" t="s">
        <v>60</v>
      </c>
      <c r="G61" s="18">
        <v>45918</v>
      </c>
      <c r="H61" s="37">
        <v>45925</v>
      </c>
      <c r="I61" s="17"/>
      <c r="J61" s="20"/>
      <c r="K61" s="20"/>
      <c r="L61" s="20"/>
    </row>
    <row r="62" spans="1:12">
      <c r="A62" s="12">
        <v>54</v>
      </c>
      <c r="B62" s="12" t="s">
        <v>212</v>
      </c>
      <c r="C62" s="20"/>
      <c r="D62" s="20"/>
      <c r="E62" s="17">
        <v>3</v>
      </c>
      <c r="F62" s="17" t="s">
        <v>57</v>
      </c>
      <c r="G62" s="37">
        <v>45918</v>
      </c>
      <c r="H62" s="37">
        <v>45925</v>
      </c>
      <c r="I62" s="19"/>
      <c r="J62" s="20"/>
      <c r="K62" s="20"/>
      <c r="L62" s="20"/>
    </row>
    <row r="63" spans="1:12">
      <c r="A63" s="12">
        <v>55</v>
      </c>
      <c r="B63" s="12" t="s">
        <v>213</v>
      </c>
      <c r="C63" s="20"/>
      <c r="D63" s="20"/>
      <c r="E63" s="17" t="s">
        <v>58</v>
      </c>
      <c r="F63" s="17" t="s">
        <v>59</v>
      </c>
      <c r="G63" s="37">
        <v>45922</v>
      </c>
      <c r="H63" s="37">
        <v>45925</v>
      </c>
      <c r="I63" s="19"/>
      <c r="J63" s="20"/>
      <c r="K63" s="20"/>
      <c r="L63" s="20"/>
    </row>
    <row r="64" spans="1:12">
      <c r="A64" s="12">
        <v>56</v>
      </c>
      <c r="B64" s="12" t="s">
        <v>214</v>
      </c>
      <c r="C64" s="20"/>
      <c r="D64" s="20"/>
      <c r="E64" s="17" t="s">
        <v>90</v>
      </c>
      <c r="F64" s="17" t="s">
        <v>59</v>
      </c>
      <c r="G64" s="37">
        <v>45922</v>
      </c>
      <c r="H64" s="37">
        <v>45925</v>
      </c>
      <c r="I64" s="19"/>
      <c r="J64" s="20"/>
      <c r="K64" s="20"/>
      <c r="L64" s="20"/>
    </row>
    <row r="65" spans="1:12">
      <c r="A65" s="12">
        <v>57</v>
      </c>
      <c r="B65" s="12" t="s">
        <v>215</v>
      </c>
      <c r="C65" s="21"/>
      <c r="D65" s="17"/>
      <c r="E65" s="17">
        <v>1</v>
      </c>
      <c r="F65" s="17" t="s">
        <v>60</v>
      </c>
      <c r="G65" s="18">
        <v>45918</v>
      </c>
      <c r="H65" s="37">
        <v>45925</v>
      </c>
      <c r="I65" s="17"/>
      <c r="J65" s="20"/>
      <c r="K65" s="20"/>
      <c r="L65" s="20"/>
    </row>
    <row r="66" spans="1:12">
      <c r="A66" s="12">
        <v>58</v>
      </c>
      <c r="B66" s="12" t="s">
        <v>216</v>
      </c>
      <c r="C66" s="20"/>
      <c r="D66" s="39"/>
      <c r="E66" s="17">
        <v>1</v>
      </c>
      <c r="F66" s="17" t="s">
        <v>57</v>
      </c>
      <c r="G66" s="37">
        <v>45918</v>
      </c>
      <c r="H66" s="37">
        <v>45925</v>
      </c>
      <c r="I66" s="19"/>
      <c r="J66" s="20"/>
      <c r="K66" s="20"/>
      <c r="L66" s="20"/>
    </row>
    <row r="67" spans="1:12">
      <c r="A67" s="12">
        <v>59</v>
      </c>
      <c r="B67" s="12" t="s">
        <v>217</v>
      </c>
      <c r="C67" s="20"/>
      <c r="D67" s="20"/>
      <c r="E67" s="17">
        <v>1</v>
      </c>
      <c r="F67" s="17" t="s">
        <v>60</v>
      </c>
      <c r="G67" s="37">
        <v>45918</v>
      </c>
      <c r="H67" s="37">
        <v>45925</v>
      </c>
      <c r="I67" s="19"/>
      <c r="J67" s="20"/>
      <c r="K67" s="20"/>
      <c r="L67" s="20"/>
    </row>
    <row r="68" spans="1:12">
      <c r="A68" s="12">
        <v>60</v>
      </c>
      <c r="B68" s="12" t="s">
        <v>218</v>
      </c>
      <c r="C68" s="20"/>
      <c r="D68" s="20"/>
      <c r="E68" s="17" t="s">
        <v>58</v>
      </c>
      <c r="F68" s="17" t="s">
        <v>59</v>
      </c>
      <c r="G68" s="37">
        <v>45918</v>
      </c>
      <c r="H68" s="37">
        <v>45925</v>
      </c>
      <c r="I68" s="19"/>
      <c r="J68" s="20"/>
      <c r="K68" s="20"/>
      <c r="L68" s="20"/>
    </row>
  </sheetData>
  <sortState ref="B9:I80">
    <sortCondition ref="B9"/>
  </sortState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68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O64"/>
  <sheetViews>
    <sheetView zoomScale="98" zoomScaleNormal="45" workbookViewId="0">
      <selection activeCell="E17" sqref="E17"/>
    </sheetView>
  </sheetViews>
  <sheetFormatPr defaultRowHeight="13.8"/>
  <cols>
    <col min="1" max="1" width="4.09765625" customWidth="1"/>
    <col min="2" max="2" width="17.69921875" customWidth="1"/>
    <col min="3" max="3" width="13.3984375" customWidth="1"/>
    <col min="4" max="4" width="13.5" customWidth="1"/>
    <col min="5" max="5" width="6.5" customWidth="1"/>
    <col min="6" max="6" width="13.8984375" customWidth="1"/>
    <col min="7" max="7" width="10" customWidth="1"/>
    <col min="8" max="8" width="10.5" customWidth="1"/>
    <col min="9" max="9" width="8.8984375" customWidth="1"/>
  </cols>
  <sheetData>
    <row r="1" spans="1:12" ht="22.2">
      <c r="A1" s="58">
        <v>45926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2">
      <c r="A2" s="59" t="s">
        <v>0</v>
      </c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63"/>
      <c r="L3" s="63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63"/>
      <c r="L4" s="63"/>
    </row>
    <row r="5" spans="1:12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63"/>
      <c r="L5" s="63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63"/>
      <c r="L6" s="63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63"/>
      <c r="L7" s="63"/>
    </row>
    <row r="8" spans="1:12" ht="55.2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2">
      <c r="A9" s="12">
        <v>1</v>
      </c>
      <c r="B9" s="20" t="s">
        <v>159</v>
      </c>
      <c r="C9" s="20"/>
      <c r="D9" s="17"/>
      <c r="E9" s="17" t="s">
        <v>59</v>
      </c>
      <c r="F9" s="37">
        <v>45923</v>
      </c>
      <c r="G9" s="37">
        <v>45926</v>
      </c>
      <c r="H9" s="19" t="s">
        <v>147</v>
      </c>
      <c r="I9" s="20"/>
      <c r="J9" s="20"/>
      <c r="K9" s="20"/>
      <c r="L9" s="20"/>
    </row>
    <row r="10" spans="1:12">
      <c r="A10" s="12">
        <v>2</v>
      </c>
      <c r="B10" s="20" t="s">
        <v>160</v>
      </c>
      <c r="C10" s="20"/>
      <c r="D10" s="20"/>
      <c r="E10" s="17" t="s">
        <v>58</v>
      </c>
      <c r="F10" s="17" t="s">
        <v>59</v>
      </c>
      <c r="G10" s="37">
        <v>45923</v>
      </c>
      <c r="H10" s="37">
        <v>45926</v>
      </c>
      <c r="I10" s="19"/>
      <c r="J10" s="20"/>
      <c r="K10" s="23"/>
      <c r="L10" s="23"/>
    </row>
    <row r="11" spans="1:12">
      <c r="A11" s="12">
        <v>3</v>
      </c>
      <c r="B11" s="20" t="s">
        <v>161</v>
      </c>
      <c r="C11" s="21"/>
      <c r="D11" s="17"/>
      <c r="E11" s="17" t="s">
        <v>58</v>
      </c>
      <c r="F11" s="17" t="s">
        <v>59</v>
      </c>
      <c r="G11" s="37">
        <v>45919</v>
      </c>
      <c r="H11" s="37">
        <v>45926</v>
      </c>
      <c r="I11" s="19"/>
      <c r="J11" s="22"/>
      <c r="K11" s="20"/>
      <c r="L11" s="20"/>
    </row>
    <row r="12" spans="1:12">
      <c r="A12" s="12">
        <v>4</v>
      </c>
      <c r="B12" s="20" t="s">
        <v>162</v>
      </c>
      <c r="C12" s="14"/>
      <c r="D12" s="17"/>
      <c r="E12" s="17">
        <v>1</v>
      </c>
      <c r="F12" s="17" t="s">
        <v>146</v>
      </c>
      <c r="G12" s="37">
        <v>45919</v>
      </c>
      <c r="H12" s="37">
        <v>45926</v>
      </c>
      <c r="I12" s="19"/>
      <c r="J12" s="20"/>
      <c r="K12" s="20"/>
      <c r="L12" s="20"/>
    </row>
    <row r="13" spans="1:12">
      <c r="A13" s="12">
        <v>5</v>
      </c>
      <c r="B13" s="20" t="s">
        <v>163</v>
      </c>
      <c r="C13" s="20"/>
      <c r="D13" s="20"/>
      <c r="E13" s="17">
        <v>1</v>
      </c>
      <c r="F13" s="17" t="s">
        <v>56</v>
      </c>
      <c r="G13" s="37">
        <v>45919</v>
      </c>
      <c r="H13" s="37">
        <v>45926</v>
      </c>
      <c r="I13" s="19"/>
      <c r="J13" s="20"/>
      <c r="K13" s="23"/>
      <c r="L13" s="23"/>
    </row>
    <row r="14" spans="1:12">
      <c r="A14" s="12">
        <v>6</v>
      </c>
      <c r="B14" s="20" t="s">
        <v>164</v>
      </c>
      <c r="C14" s="20"/>
      <c r="D14" s="20"/>
      <c r="E14" s="17" t="s">
        <v>58</v>
      </c>
      <c r="F14" s="17" t="s">
        <v>59</v>
      </c>
      <c r="G14" s="37">
        <v>45923</v>
      </c>
      <c r="H14" s="37">
        <v>45926</v>
      </c>
      <c r="I14" s="19"/>
      <c r="J14" s="22"/>
      <c r="K14" s="23"/>
      <c r="L14" s="23"/>
    </row>
    <row r="15" spans="1:12">
      <c r="A15" s="12">
        <v>7</v>
      </c>
      <c r="B15" s="20" t="s">
        <v>165</v>
      </c>
      <c r="C15" s="20"/>
      <c r="D15" s="39"/>
      <c r="E15" s="17">
        <v>1</v>
      </c>
      <c r="F15" s="17" t="s">
        <v>57</v>
      </c>
      <c r="G15" s="37">
        <v>45919</v>
      </c>
      <c r="H15" s="37">
        <v>45926</v>
      </c>
      <c r="I15" s="19"/>
      <c r="J15" s="22"/>
      <c r="K15" s="20"/>
      <c r="L15" s="20"/>
    </row>
    <row r="16" spans="1:12">
      <c r="A16" s="12">
        <v>8</v>
      </c>
      <c r="B16" s="20" t="s">
        <v>166</v>
      </c>
      <c r="C16" s="20"/>
      <c r="D16" s="20"/>
      <c r="E16" s="17">
        <v>1</v>
      </c>
      <c r="F16" s="17" t="s">
        <v>60</v>
      </c>
      <c r="G16" s="37">
        <v>45919</v>
      </c>
      <c r="H16" s="37">
        <v>45926</v>
      </c>
      <c r="I16" s="19"/>
      <c r="J16" s="20"/>
      <c r="K16" s="23"/>
      <c r="L16" s="23"/>
    </row>
    <row r="17" spans="1:15">
      <c r="A17" s="12">
        <v>9</v>
      </c>
      <c r="B17" s="20" t="s">
        <v>167</v>
      </c>
      <c r="C17" s="20"/>
      <c r="D17" s="20"/>
      <c r="E17" s="17" t="s">
        <v>58</v>
      </c>
      <c r="F17" s="17" t="s">
        <v>59</v>
      </c>
      <c r="G17" s="37">
        <v>45923</v>
      </c>
      <c r="H17" s="37">
        <v>45926</v>
      </c>
      <c r="I17" s="19"/>
      <c r="J17" s="22"/>
      <c r="K17" s="23"/>
      <c r="L17" s="23"/>
    </row>
    <row r="18" spans="1:15">
      <c r="A18" s="12">
        <v>10</v>
      </c>
      <c r="B18" s="20" t="s">
        <v>168</v>
      </c>
      <c r="C18" s="20"/>
      <c r="D18" s="20"/>
      <c r="E18" s="17">
        <v>1</v>
      </c>
      <c r="F18" s="17" t="s">
        <v>85</v>
      </c>
      <c r="G18" s="37">
        <v>45919</v>
      </c>
      <c r="H18" s="37">
        <v>45926</v>
      </c>
      <c r="I18" s="19"/>
      <c r="J18" s="22"/>
      <c r="K18" s="20"/>
      <c r="L18" s="20"/>
    </row>
    <row r="19" spans="1:15">
      <c r="A19" s="12">
        <v>11</v>
      </c>
      <c r="B19" s="20" t="s">
        <v>169</v>
      </c>
      <c r="C19" s="21"/>
      <c r="D19" s="17"/>
      <c r="E19" s="17" t="s">
        <v>58</v>
      </c>
      <c r="F19" s="17" t="s">
        <v>59</v>
      </c>
      <c r="G19" s="37">
        <v>45919</v>
      </c>
      <c r="H19" s="37">
        <v>45926</v>
      </c>
      <c r="I19" s="19"/>
      <c r="J19" s="20"/>
      <c r="K19" s="20"/>
      <c r="L19" s="20"/>
    </row>
    <row r="20" spans="1:15">
      <c r="A20" s="12">
        <v>12</v>
      </c>
      <c r="B20" s="20" t="s">
        <v>170</v>
      </c>
      <c r="C20" s="20"/>
      <c r="D20" s="20"/>
      <c r="E20" s="17">
        <v>1</v>
      </c>
      <c r="F20" s="17" t="s">
        <v>76</v>
      </c>
      <c r="G20" s="37">
        <v>45919</v>
      </c>
      <c r="H20" s="37">
        <v>45926</v>
      </c>
      <c r="I20" s="19"/>
      <c r="J20" s="22"/>
      <c r="K20" s="23"/>
      <c r="L20" s="23"/>
    </row>
    <row r="21" spans="1:15">
      <c r="A21" s="12">
        <v>13</v>
      </c>
      <c r="B21" s="20" t="s">
        <v>171</v>
      </c>
      <c r="C21" s="20"/>
      <c r="D21" s="20"/>
      <c r="E21" s="17">
        <v>1</v>
      </c>
      <c r="F21" s="17" t="s">
        <v>60</v>
      </c>
      <c r="G21" s="37">
        <v>45919</v>
      </c>
      <c r="H21" s="37">
        <v>45926</v>
      </c>
      <c r="I21" s="19"/>
      <c r="J21" s="22"/>
      <c r="K21" s="23"/>
      <c r="L21" s="23"/>
    </row>
    <row r="22" spans="1:15">
      <c r="A22" s="12">
        <v>14</v>
      </c>
      <c r="B22" s="20" t="s">
        <v>172</v>
      </c>
      <c r="C22" s="20"/>
      <c r="D22" s="20"/>
      <c r="E22" s="17">
        <v>1</v>
      </c>
      <c r="F22" s="17" t="s">
        <v>60</v>
      </c>
      <c r="G22" s="37">
        <v>45919</v>
      </c>
      <c r="H22" s="37">
        <v>45926</v>
      </c>
      <c r="I22" s="19"/>
      <c r="J22" s="22"/>
      <c r="K22" s="20"/>
      <c r="L22" s="20"/>
    </row>
    <row r="23" spans="1:15">
      <c r="A23" s="12">
        <v>15</v>
      </c>
      <c r="B23" s="20" t="s">
        <v>173</v>
      </c>
      <c r="C23" s="20"/>
      <c r="D23" s="20"/>
      <c r="E23" s="17">
        <v>1</v>
      </c>
      <c r="F23" s="17" t="s">
        <v>57</v>
      </c>
      <c r="G23" s="37">
        <v>45919</v>
      </c>
      <c r="H23" s="37">
        <v>45926</v>
      </c>
      <c r="I23" s="19"/>
      <c r="J23" s="20"/>
      <c r="K23" s="20"/>
      <c r="L23" s="20"/>
    </row>
    <row r="24" spans="1:15">
      <c r="A24" s="12">
        <v>16</v>
      </c>
      <c r="B24" s="20" t="s">
        <v>174</v>
      </c>
      <c r="C24" s="21"/>
      <c r="D24" s="17"/>
      <c r="E24" s="17">
        <v>1</v>
      </c>
      <c r="F24" s="17" t="s">
        <v>56</v>
      </c>
      <c r="G24" s="37">
        <v>45919</v>
      </c>
      <c r="H24" s="37">
        <v>45926</v>
      </c>
      <c r="I24" s="19"/>
      <c r="J24" s="20"/>
      <c r="K24" s="23"/>
      <c r="L24" s="23"/>
    </row>
    <row r="25" spans="1:15">
      <c r="A25" s="12">
        <v>17</v>
      </c>
      <c r="B25" s="20" t="s">
        <v>175</v>
      </c>
      <c r="C25" s="20"/>
      <c r="D25" s="20"/>
      <c r="E25" s="17">
        <v>1</v>
      </c>
      <c r="F25" s="17" t="s">
        <v>60</v>
      </c>
      <c r="G25" s="37">
        <v>45919</v>
      </c>
      <c r="H25" s="37">
        <v>45926</v>
      </c>
      <c r="I25" s="19"/>
      <c r="J25" s="20"/>
      <c r="K25" s="23"/>
      <c r="L25" s="23"/>
      <c r="O25">
        <v>2</v>
      </c>
    </row>
    <row r="26" spans="1:15">
      <c r="A26" s="12">
        <v>18</v>
      </c>
      <c r="B26" s="20" t="s">
        <v>176</v>
      </c>
      <c r="C26" s="20"/>
      <c r="D26" s="20"/>
      <c r="E26" s="17" t="s">
        <v>58</v>
      </c>
      <c r="F26" s="17" t="s">
        <v>59</v>
      </c>
      <c r="G26" s="37">
        <v>45923</v>
      </c>
      <c r="H26" s="37">
        <v>45926</v>
      </c>
      <c r="I26" s="19"/>
      <c r="J26" s="20"/>
      <c r="K26" s="23"/>
      <c r="L26" s="23"/>
    </row>
    <row r="27" spans="1:15">
      <c r="A27" s="12">
        <v>19</v>
      </c>
      <c r="B27" s="20" t="s">
        <v>177</v>
      </c>
      <c r="C27" s="20"/>
      <c r="D27" s="39"/>
      <c r="E27" s="16">
        <v>1</v>
      </c>
      <c r="F27" s="17" t="s">
        <v>76</v>
      </c>
      <c r="G27" s="37">
        <v>45919</v>
      </c>
      <c r="H27" s="37">
        <v>45926</v>
      </c>
      <c r="I27" s="19"/>
      <c r="J27" s="22"/>
      <c r="K27" s="20"/>
      <c r="L27" s="20"/>
    </row>
    <row r="28" spans="1:15">
      <c r="A28" s="12">
        <v>20</v>
      </c>
      <c r="B28" s="20" t="s">
        <v>178</v>
      </c>
      <c r="C28" s="20"/>
      <c r="D28" s="20"/>
      <c r="E28" s="17" t="s">
        <v>58</v>
      </c>
      <c r="F28" s="17" t="s">
        <v>59</v>
      </c>
      <c r="G28" s="37">
        <v>45923</v>
      </c>
      <c r="H28" s="37">
        <v>45926</v>
      </c>
      <c r="I28" s="19"/>
      <c r="J28" s="22"/>
      <c r="K28" s="23"/>
      <c r="L28" s="23"/>
    </row>
    <row r="29" spans="1:15">
      <c r="A29" s="12">
        <v>21</v>
      </c>
      <c r="B29" s="20" t="s">
        <v>179</v>
      </c>
      <c r="C29" s="21"/>
      <c r="D29" s="17"/>
      <c r="E29" s="17">
        <v>1</v>
      </c>
      <c r="F29" s="17" t="s">
        <v>60</v>
      </c>
      <c r="G29" s="37">
        <v>45919</v>
      </c>
      <c r="H29" s="37">
        <v>45926</v>
      </c>
      <c r="I29" s="19"/>
      <c r="J29" s="22"/>
      <c r="K29" s="23"/>
      <c r="L29" s="23"/>
    </row>
    <row r="30" spans="1:15">
      <c r="A30" s="12">
        <v>22</v>
      </c>
      <c r="B30" s="20" t="s">
        <v>180</v>
      </c>
      <c r="C30" s="20"/>
      <c r="D30" s="20"/>
      <c r="E30" s="17" t="s">
        <v>58</v>
      </c>
      <c r="F30" s="17" t="s">
        <v>59</v>
      </c>
      <c r="G30" s="37">
        <v>45919</v>
      </c>
      <c r="H30" s="37">
        <v>45926</v>
      </c>
      <c r="I30" s="19"/>
      <c r="J30" s="20"/>
      <c r="K30" s="20"/>
      <c r="L30" s="20"/>
    </row>
    <row r="31" spans="1:15">
      <c r="A31" s="12">
        <v>23</v>
      </c>
      <c r="B31" s="20" t="s">
        <v>181</v>
      </c>
      <c r="C31" s="20"/>
      <c r="D31" s="39"/>
      <c r="E31" s="17">
        <v>1</v>
      </c>
      <c r="F31" s="17" t="s">
        <v>62</v>
      </c>
      <c r="G31" s="37">
        <v>45919</v>
      </c>
      <c r="H31" s="37">
        <v>45926</v>
      </c>
      <c r="I31" s="19"/>
      <c r="J31" s="22"/>
      <c r="K31" s="23"/>
      <c r="L31" s="23"/>
    </row>
    <row r="32" spans="1:15">
      <c r="A32" s="12">
        <v>24</v>
      </c>
      <c r="B32" s="20" t="s">
        <v>182</v>
      </c>
      <c r="C32" s="20"/>
      <c r="D32" s="39"/>
      <c r="E32" s="17">
        <v>2</v>
      </c>
      <c r="F32" s="17" t="s">
        <v>62</v>
      </c>
      <c r="G32" s="37">
        <v>45919</v>
      </c>
      <c r="H32" s="37">
        <v>45926</v>
      </c>
      <c r="I32" s="19"/>
      <c r="J32" s="22"/>
      <c r="K32" s="20"/>
      <c r="L32" s="20"/>
    </row>
    <row r="33" spans="1:13">
      <c r="A33" s="12">
        <v>25</v>
      </c>
      <c r="B33" s="20" t="s">
        <v>183</v>
      </c>
      <c r="C33" s="20"/>
      <c r="D33" s="20"/>
      <c r="E33" s="17">
        <v>1</v>
      </c>
      <c r="F33" s="17" t="s">
        <v>60</v>
      </c>
      <c r="G33" s="37">
        <v>45919</v>
      </c>
      <c r="H33" s="37">
        <v>45926</v>
      </c>
      <c r="I33" s="19"/>
      <c r="J33" s="20"/>
      <c r="K33" s="20"/>
      <c r="L33" s="20"/>
    </row>
    <row r="34" spans="1:13">
      <c r="A34" s="12">
        <v>26</v>
      </c>
      <c r="B34" s="20" t="s">
        <v>184</v>
      </c>
      <c r="C34" s="20"/>
      <c r="D34" s="20"/>
      <c r="E34" s="17">
        <v>1</v>
      </c>
      <c r="F34" s="17" t="s">
        <v>57</v>
      </c>
      <c r="G34" s="37">
        <v>45919</v>
      </c>
      <c r="H34" s="37">
        <v>45926</v>
      </c>
      <c r="I34" s="19"/>
      <c r="J34" s="22" t="s">
        <v>128</v>
      </c>
      <c r="K34" s="20"/>
      <c r="L34" s="20"/>
    </row>
    <row r="35" spans="1:13">
      <c r="A35" s="12">
        <v>27</v>
      </c>
      <c r="B35" s="20" t="s">
        <v>185</v>
      </c>
      <c r="C35" s="20"/>
      <c r="D35" s="20"/>
      <c r="E35" s="17" t="s">
        <v>58</v>
      </c>
      <c r="F35" s="17" t="s">
        <v>59</v>
      </c>
      <c r="G35" s="37">
        <v>45923</v>
      </c>
      <c r="H35" s="37">
        <v>45926</v>
      </c>
      <c r="I35" s="19"/>
      <c r="J35" s="20"/>
      <c r="K35" s="20"/>
      <c r="L35" s="20"/>
    </row>
    <row r="36" spans="1:13">
      <c r="A36" s="12">
        <v>28</v>
      </c>
      <c r="B36" s="20" t="s">
        <v>186</v>
      </c>
      <c r="C36" s="20"/>
      <c r="D36" s="39"/>
      <c r="E36" s="17">
        <v>1</v>
      </c>
      <c r="F36" s="17" t="s">
        <v>56</v>
      </c>
      <c r="G36" s="37">
        <v>45919</v>
      </c>
      <c r="H36" s="37">
        <v>45926</v>
      </c>
      <c r="I36" s="19"/>
      <c r="J36" s="20"/>
      <c r="K36" s="20"/>
      <c r="L36" s="20"/>
    </row>
    <row r="37" spans="1:13">
      <c r="A37" s="12">
        <v>29</v>
      </c>
      <c r="B37" s="20" t="s">
        <v>187</v>
      </c>
      <c r="C37" s="20"/>
      <c r="D37" s="20"/>
      <c r="E37" s="17" t="s">
        <v>112</v>
      </c>
      <c r="F37" s="17" t="s">
        <v>85</v>
      </c>
      <c r="G37" s="37">
        <v>45919</v>
      </c>
      <c r="H37" s="37">
        <v>45926</v>
      </c>
      <c r="I37" s="19"/>
      <c r="J37" s="20"/>
      <c r="K37" s="20"/>
      <c r="L37" s="20"/>
    </row>
    <row r="38" spans="1:13">
      <c r="A38" s="12">
        <v>30</v>
      </c>
      <c r="B38" s="20" t="s">
        <v>188</v>
      </c>
      <c r="C38" s="20"/>
      <c r="D38" s="20"/>
      <c r="E38" s="17" t="s">
        <v>58</v>
      </c>
      <c r="F38" s="17" t="s">
        <v>59</v>
      </c>
      <c r="G38" s="37">
        <v>45919</v>
      </c>
      <c r="H38" s="37">
        <v>45926</v>
      </c>
      <c r="I38" s="19"/>
      <c r="J38" s="20"/>
      <c r="K38" s="20"/>
      <c r="L38" s="20"/>
    </row>
    <row r="39" spans="1:13">
      <c r="A39" s="12">
        <v>31</v>
      </c>
      <c r="B39" s="20" t="s">
        <v>189</v>
      </c>
      <c r="C39" s="20"/>
      <c r="D39" s="20"/>
      <c r="E39" s="17">
        <v>1</v>
      </c>
      <c r="F39" s="17" t="s">
        <v>76</v>
      </c>
      <c r="G39" s="37">
        <v>45919</v>
      </c>
      <c r="H39" s="37">
        <v>45926</v>
      </c>
      <c r="I39" s="19"/>
      <c r="J39" s="20"/>
      <c r="K39" s="20"/>
      <c r="L39" s="20"/>
    </row>
    <row r="40" spans="1:13">
      <c r="A40" s="12">
        <v>32</v>
      </c>
      <c r="B40" s="20" t="s">
        <v>190</v>
      </c>
      <c r="C40" s="20"/>
      <c r="D40" s="20"/>
      <c r="E40" s="17">
        <v>1</v>
      </c>
      <c r="F40" s="17" t="s">
        <v>59</v>
      </c>
      <c r="G40" s="37">
        <v>45919</v>
      </c>
      <c r="H40" s="37">
        <v>45926</v>
      </c>
      <c r="I40" s="19"/>
      <c r="J40" s="20"/>
      <c r="K40" s="20"/>
      <c r="L40" s="20"/>
    </row>
    <row r="41" spans="1:13">
      <c r="A41" s="12">
        <v>33</v>
      </c>
      <c r="B41" s="20" t="s">
        <v>191</v>
      </c>
      <c r="C41" s="20"/>
      <c r="D41" s="20"/>
      <c r="E41" s="17" t="s">
        <v>58</v>
      </c>
      <c r="F41" s="17" t="s">
        <v>59</v>
      </c>
      <c r="G41" s="37">
        <v>45923</v>
      </c>
      <c r="H41" s="37">
        <v>45926</v>
      </c>
      <c r="I41" s="19"/>
      <c r="J41" s="20"/>
      <c r="K41" s="20"/>
      <c r="L41" s="20"/>
    </row>
    <row r="42" spans="1:13">
      <c r="A42" s="12">
        <v>34</v>
      </c>
      <c r="B42" s="20" t="s">
        <v>192</v>
      </c>
      <c r="C42" s="20"/>
      <c r="D42" s="20"/>
      <c r="E42" s="17" t="s">
        <v>58</v>
      </c>
      <c r="F42" s="17" t="s">
        <v>59</v>
      </c>
      <c r="G42" s="37">
        <v>45923</v>
      </c>
      <c r="H42" s="37">
        <v>45926</v>
      </c>
      <c r="I42" s="19"/>
      <c r="J42" s="20"/>
      <c r="K42" s="20"/>
      <c r="L42" s="20"/>
    </row>
    <row r="43" spans="1:13">
      <c r="A43" s="12">
        <v>35</v>
      </c>
      <c r="B43" s="20" t="s">
        <v>193</v>
      </c>
      <c r="C43" s="21"/>
      <c r="D43" s="17"/>
      <c r="E43" s="17">
        <v>1</v>
      </c>
      <c r="F43" s="17" t="s">
        <v>57</v>
      </c>
      <c r="G43" s="37">
        <v>45919</v>
      </c>
      <c r="H43" s="37">
        <v>45926</v>
      </c>
      <c r="I43" s="19"/>
      <c r="J43" s="20"/>
      <c r="K43" s="20"/>
      <c r="L43" s="20"/>
    </row>
    <row r="44" spans="1:13">
      <c r="A44" s="12">
        <v>36</v>
      </c>
      <c r="B44" s="20" t="s">
        <v>194</v>
      </c>
      <c r="C44" s="20"/>
      <c r="D44" s="20"/>
      <c r="E44" s="20" t="s">
        <v>61</v>
      </c>
      <c r="F44" s="17" t="s">
        <v>57</v>
      </c>
      <c r="G44" s="37">
        <v>45919</v>
      </c>
      <c r="H44" s="37">
        <v>45926</v>
      </c>
      <c r="I44" s="19"/>
      <c r="J44" s="20"/>
      <c r="K44" s="20"/>
      <c r="L44" s="20"/>
    </row>
    <row r="45" spans="1:13">
      <c r="A45" s="12">
        <v>37</v>
      </c>
      <c r="B45" s="20" t="s">
        <v>195</v>
      </c>
      <c r="C45" s="20"/>
      <c r="D45" s="39"/>
      <c r="E45" s="17">
        <v>1</v>
      </c>
      <c r="F45" s="17" t="s">
        <v>85</v>
      </c>
      <c r="G45" s="37">
        <v>45919</v>
      </c>
      <c r="H45" s="37">
        <v>45926</v>
      </c>
      <c r="I45" s="19"/>
      <c r="J45" s="20"/>
      <c r="K45" s="20"/>
      <c r="L45" s="20"/>
    </row>
    <row r="46" spans="1:13">
      <c r="A46" s="12">
        <v>38</v>
      </c>
      <c r="B46" s="20" t="s">
        <v>196</v>
      </c>
      <c r="C46" s="20"/>
      <c r="D46" s="20"/>
      <c r="E46" s="17" t="s">
        <v>123</v>
      </c>
      <c r="F46" s="17" t="s">
        <v>85</v>
      </c>
      <c r="G46" s="37">
        <v>45919</v>
      </c>
      <c r="H46" s="37">
        <v>45926</v>
      </c>
      <c r="I46" s="19"/>
      <c r="J46" s="20"/>
      <c r="K46" s="20"/>
      <c r="L46" s="20"/>
      <c r="M46" t="s">
        <v>128</v>
      </c>
    </row>
    <row r="47" spans="1:13">
      <c r="A47" s="12">
        <v>39</v>
      </c>
      <c r="B47" s="20" t="s">
        <v>197</v>
      </c>
      <c r="C47" s="20"/>
      <c r="D47" s="20"/>
      <c r="E47" s="17">
        <v>1</v>
      </c>
      <c r="F47" s="17" t="s">
        <v>60</v>
      </c>
      <c r="G47" s="37">
        <v>45919</v>
      </c>
      <c r="H47" s="37">
        <v>45926</v>
      </c>
      <c r="I47" s="19"/>
      <c r="J47" s="20"/>
      <c r="K47" s="20"/>
      <c r="L47" s="20"/>
    </row>
    <row r="48" spans="1:13">
      <c r="A48" s="12">
        <v>40</v>
      </c>
      <c r="B48" s="20" t="s">
        <v>198</v>
      </c>
      <c r="C48" s="21"/>
      <c r="D48" s="17"/>
      <c r="E48" s="17" t="s">
        <v>58</v>
      </c>
      <c r="F48" s="17" t="s">
        <v>59</v>
      </c>
      <c r="G48" s="37">
        <v>45919</v>
      </c>
      <c r="H48" s="37">
        <v>45926</v>
      </c>
      <c r="I48" s="19"/>
      <c r="J48" s="20"/>
      <c r="K48" s="20"/>
      <c r="L48" s="20"/>
    </row>
    <row r="49" spans="1:12">
      <c r="A49" s="12">
        <v>41</v>
      </c>
      <c r="B49" s="20" t="s">
        <v>199</v>
      </c>
      <c r="C49" s="21"/>
      <c r="D49" s="17"/>
      <c r="E49" s="17">
        <v>1</v>
      </c>
      <c r="F49" s="17" t="s">
        <v>57</v>
      </c>
      <c r="G49" s="37">
        <v>45919</v>
      </c>
      <c r="H49" s="37">
        <v>45926</v>
      </c>
      <c r="I49" s="19"/>
      <c r="J49" s="20"/>
      <c r="K49" s="20"/>
      <c r="L49" s="20"/>
    </row>
    <row r="50" spans="1:12">
      <c r="A50" s="12">
        <v>42</v>
      </c>
      <c r="B50" s="20" t="s">
        <v>200</v>
      </c>
      <c r="C50" s="20"/>
      <c r="D50" s="20"/>
      <c r="E50" s="17">
        <v>1</v>
      </c>
      <c r="F50" s="17" t="s">
        <v>57</v>
      </c>
      <c r="G50" s="37">
        <v>45919</v>
      </c>
      <c r="H50" s="37">
        <v>45926</v>
      </c>
      <c r="I50" s="19"/>
      <c r="J50" s="20"/>
      <c r="K50" s="20"/>
      <c r="L50" s="20"/>
    </row>
    <row r="51" spans="1:12">
      <c r="A51" s="12">
        <v>43</v>
      </c>
      <c r="B51" s="20" t="s">
        <v>201</v>
      </c>
      <c r="C51" s="21"/>
      <c r="D51" s="17"/>
      <c r="E51" s="17" t="s">
        <v>58</v>
      </c>
      <c r="F51" s="17" t="s">
        <v>59</v>
      </c>
      <c r="G51" s="37">
        <v>45919</v>
      </c>
      <c r="H51" s="37">
        <v>45926</v>
      </c>
      <c r="I51" s="19"/>
      <c r="J51" s="20"/>
      <c r="K51" s="20"/>
      <c r="L51" s="20"/>
    </row>
    <row r="52" spans="1:12">
      <c r="A52" s="12">
        <v>44</v>
      </c>
      <c r="B52" s="20" t="s">
        <v>202</v>
      </c>
      <c r="C52" s="20"/>
      <c r="D52" s="20"/>
      <c r="E52" s="17" t="s">
        <v>58</v>
      </c>
      <c r="F52" s="17" t="s">
        <v>59</v>
      </c>
      <c r="G52" s="37">
        <v>45919</v>
      </c>
      <c r="H52" s="37">
        <v>45926</v>
      </c>
      <c r="I52" s="19"/>
      <c r="J52" s="20"/>
      <c r="K52" s="20"/>
      <c r="L52" s="20"/>
    </row>
    <row r="53" spans="1:12">
      <c r="A53" s="12">
        <v>45</v>
      </c>
      <c r="B53" s="20" t="s">
        <v>203</v>
      </c>
      <c r="C53" s="20"/>
      <c r="D53" s="20"/>
      <c r="E53" s="17" t="s">
        <v>58</v>
      </c>
      <c r="F53" s="17" t="s">
        <v>59</v>
      </c>
      <c r="G53" s="37">
        <v>45919</v>
      </c>
      <c r="H53" s="37">
        <v>45926</v>
      </c>
      <c r="I53" s="19"/>
      <c r="J53" s="20"/>
      <c r="K53" s="20"/>
      <c r="L53" s="20"/>
    </row>
    <row r="54" spans="1:12">
      <c r="A54" s="12">
        <v>46</v>
      </c>
      <c r="B54" s="20" t="s">
        <v>204</v>
      </c>
      <c r="C54" s="20"/>
      <c r="D54" s="20"/>
      <c r="E54" s="17">
        <v>3</v>
      </c>
      <c r="F54" s="17" t="s">
        <v>57</v>
      </c>
      <c r="G54" s="37">
        <v>45919</v>
      </c>
      <c r="H54" s="37">
        <v>45926</v>
      </c>
      <c r="I54" s="19"/>
      <c r="J54" s="20"/>
      <c r="K54" s="20"/>
      <c r="L54" s="20"/>
    </row>
    <row r="55" spans="1:12">
      <c r="A55" s="12">
        <v>47</v>
      </c>
      <c r="B55" s="20" t="s">
        <v>205</v>
      </c>
      <c r="C55" s="20"/>
      <c r="D55" s="20"/>
      <c r="E55" s="17" t="s">
        <v>58</v>
      </c>
      <c r="F55" s="17" t="s">
        <v>59</v>
      </c>
      <c r="G55" s="37">
        <v>45919</v>
      </c>
      <c r="H55" s="37">
        <v>45926</v>
      </c>
      <c r="I55" s="19"/>
      <c r="J55" s="20"/>
      <c r="K55" s="20"/>
      <c r="L55" s="20"/>
    </row>
    <row r="56" spans="1:12">
      <c r="A56" s="12">
        <v>48</v>
      </c>
      <c r="B56" s="20" t="s">
        <v>206</v>
      </c>
      <c r="C56" s="20"/>
      <c r="D56" s="20"/>
      <c r="E56" s="17">
        <v>1</v>
      </c>
      <c r="F56" s="17" t="s">
        <v>60</v>
      </c>
      <c r="G56" s="37">
        <v>45919</v>
      </c>
      <c r="H56" s="37">
        <v>45926</v>
      </c>
      <c r="I56" s="19"/>
      <c r="J56" s="20"/>
      <c r="K56" s="20"/>
      <c r="L56" s="20"/>
    </row>
    <row r="57" spans="1:12">
      <c r="A57" s="12">
        <v>49</v>
      </c>
      <c r="B57" s="20" t="s">
        <v>207</v>
      </c>
      <c r="C57" s="20"/>
      <c r="D57" s="20"/>
      <c r="E57" s="17" t="s">
        <v>71</v>
      </c>
      <c r="F57" s="17" t="s">
        <v>59</v>
      </c>
      <c r="G57" s="37">
        <v>45919</v>
      </c>
      <c r="H57" s="37">
        <v>45926</v>
      </c>
      <c r="I57" s="19"/>
      <c r="J57" s="20"/>
      <c r="K57" s="20"/>
      <c r="L57" s="20"/>
    </row>
    <row r="58" spans="1:12">
      <c r="A58" s="12">
        <v>50</v>
      </c>
      <c r="B58" s="20" t="s">
        <v>208</v>
      </c>
      <c r="C58" s="20"/>
      <c r="D58" s="20"/>
      <c r="E58" s="17" t="s">
        <v>58</v>
      </c>
      <c r="F58" s="17" t="s">
        <v>59</v>
      </c>
      <c r="G58" s="37">
        <v>45923</v>
      </c>
      <c r="H58" s="37">
        <v>45926</v>
      </c>
      <c r="I58" s="19"/>
      <c r="J58" s="20"/>
      <c r="K58" s="20"/>
      <c r="L58" s="20"/>
    </row>
    <row r="59" spans="1:12">
      <c r="A59" s="12">
        <v>51</v>
      </c>
      <c r="B59" s="20" t="s">
        <v>209</v>
      </c>
      <c r="C59" s="20"/>
      <c r="D59" s="20"/>
      <c r="E59" s="17" t="s">
        <v>71</v>
      </c>
      <c r="F59" s="17" t="s">
        <v>57</v>
      </c>
      <c r="G59" s="37">
        <v>45919</v>
      </c>
      <c r="H59" s="37">
        <v>45926</v>
      </c>
      <c r="I59" s="19"/>
      <c r="J59" s="20"/>
      <c r="K59" s="20"/>
      <c r="L59" s="20"/>
    </row>
    <row r="60" spans="1:12">
      <c r="A60" s="12">
        <v>52</v>
      </c>
      <c r="B60" s="20" t="s">
        <v>210</v>
      </c>
      <c r="C60" s="20"/>
      <c r="D60" s="20"/>
      <c r="E60" s="17">
        <v>1</v>
      </c>
      <c r="F60" s="17" t="s">
        <v>60</v>
      </c>
      <c r="G60" s="37">
        <v>45919</v>
      </c>
      <c r="H60" s="37">
        <v>45926</v>
      </c>
      <c r="I60" s="19"/>
      <c r="J60" s="20"/>
      <c r="K60" s="20"/>
      <c r="L60" s="20"/>
    </row>
    <row r="61" spans="1:12">
      <c r="A61" s="12">
        <v>53</v>
      </c>
      <c r="B61" s="20" t="s">
        <v>211</v>
      </c>
      <c r="C61" s="20"/>
      <c r="D61" s="20"/>
      <c r="E61" s="17">
        <v>1</v>
      </c>
      <c r="F61" s="17" t="s">
        <v>60</v>
      </c>
      <c r="G61" s="37">
        <v>45919</v>
      </c>
      <c r="H61" s="37">
        <v>45926</v>
      </c>
      <c r="I61" s="19"/>
      <c r="J61" s="20"/>
      <c r="K61" s="20"/>
      <c r="L61" s="20"/>
    </row>
    <row r="62" spans="1:12">
      <c r="A62" s="12">
        <v>54</v>
      </c>
      <c r="B62" s="20" t="s">
        <v>212</v>
      </c>
      <c r="C62" s="20"/>
      <c r="D62" s="39"/>
      <c r="E62" s="17">
        <v>1</v>
      </c>
      <c r="F62" s="17" t="s">
        <v>57</v>
      </c>
      <c r="G62" s="37">
        <v>45919</v>
      </c>
      <c r="H62" s="37">
        <v>45926</v>
      </c>
      <c r="I62" s="19"/>
      <c r="J62" s="20"/>
      <c r="K62" s="20"/>
      <c r="L62" s="20"/>
    </row>
    <row r="63" spans="1:12">
      <c r="A63" s="12">
        <v>55</v>
      </c>
      <c r="B63" s="20" t="s">
        <v>213</v>
      </c>
      <c r="C63" s="21"/>
      <c r="D63" s="17"/>
      <c r="E63" s="17">
        <v>1</v>
      </c>
      <c r="F63" s="17" t="s">
        <v>56</v>
      </c>
      <c r="G63" s="37">
        <v>45919</v>
      </c>
      <c r="H63" s="37">
        <v>45926</v>
      </c>
      <c r="I63" s="19"/>
      <c r="J63" s="20"/>
      <c r="K63" s="20"/>
      <c r="L63" s="20"/>
    </row>
    <row r="64" spans="1:12">
      <c r="A64" s="12">
        <v>56</v>
      </c>
      <c r="B64" s="20" t="s">
        <v>214</v>
      </c>
      <c r="C64" s="20"/>
      <c r="D64" s="20"/>
      <c r="E64" s="17">
        <v>1</v>
      </c>
      <c r="F64" s="17" t="s">
        <v>60</v>
      </c>
      <c r="G64" s="37">
        <v>45919</v>
      </c>
      <c r="H64" s="37">
        <v>45926</v>
      </c>
      <c r="I64" s="19"/>
      <c r="J64" s="20"/>
      <c r="K64" s="20"/>
      <c r="L64" s="20"/>
    </row>
  </sheetData>
  <sortState ref="B9:I74">
    <sortCondition ref="B9"/>
  </sortState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64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O258"/>
  <sheetViews>
    <sheetView zoomScale="98" zoomScaleNormal="45" workbookViewId="0">
      <selection activeCell="O30" sqref="O30"/>
    </sheetView>
  </sheetViews>
  <sheetFormatPr defaultRowHeight="13.8"/>
  <cols>
    <col min="1" max="1" width="4.09765625" customWidth="1"/>
    <col min="2" max="2" width="17.69921875" customWidth="1"/>
    <col min="3" max="3" width="13.3984375" customWidth="1"/>
    <col min="4" max="4" width="13.5" customWidth="1"/>
    <col min="5" max="5" width="6.5" customWidth="1"/>
    <col min="6" max="6" width="13.8984375" customWidth="1"/>
    <col min="7" max="7" width="10" customWidth="1"/>
    <col min="8" max="8" width="10.5" customWidth="1"/>
    <col min="9" max="9" width="8.8984375" customWidth="1"/>
  </cols>
  <sheetData>
    <row r="1" spans="1:12" ht="22.2">
      <c r="A1" s="58">
        <v>45927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2">
      <c r="A2" s="59" t="s">
        <v>0</v>
      </c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2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63"/>
      <c r="L3" s="63"/>
    </row>
    <row r="4" spans="1:12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63"/>
      <c r="L4" s="63"/>
    </row>
    <row r="5" spans="1:12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63"/>
      <c r="L5" s="63"/>
    </row>
    <row r="6" spans="1:12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63"/>
      <c r="L6" s="63"/>
    </row>
    <row r="7" spans="1:12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63"/>
      <c r="L7" s="63"/>
    </row>
    <row r="8" spans="1:12" ht="55.2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55</v>
      </c>
      <c r="J8" s="36" t="s">
        <v>31</v>
      </c>
      <c r="K8" s="38" t="s">
        <v>32</v>
      </c>
      <c r="L8" s="36"/>
    </row>
    <row r="9" spans="1:12">
      <c r="A9" s="12">
        <v>1</v>
      </c>
      <c r="B9" s="20"/>
      <c r="C9" s="20"/>
      <c r="D9" s="20"/>
      <c r="E9" s="17"/>
      <c r="F9" s="17"/>
      <c r="G9" s="37"/>
      <c r="H9" s="37"/>
      <c r="I9" s="19"/>
      <c r="J9" s="20"/>
      <c r="K9" s="20"/>
      <c r="L9" s="20"/>
    </row>
    <row r="10" spans="1:12">
      <c r="A10" s="12">
        <v>2</v>
      </c>
      <c r="B10" s="20"/>
      <c r="C10" s="20"/>
      <c r="D10" s="20"/>
      <c r="E10" s="17"/>
      <c r="F10" s="17"/>
      <c r="G10" s="37"/>
      <c r="H10" s="37"/>
      <c r="I10" s="19"/>
      <c r="J10" s="22"/>
      <c r="K10" s="23"/>
      <c r="L10" s="23"/>
    </row>
    <row r="11" spans="1:12">
      <c r="A11" s="12">
        <v>3</v>
      </c>
      <c r="B11" s="20"/>
      <c r="C11" s="20"/>
      <c r="D11" s="20"/>
      <c r="E11" s="17"/>
      <c r="F11" s="17"/>
      <c r="G11" s="37"/>
      <c r="H11" s="37"/>
      <c r="I11" s="19"/>
      <c r="J11" s="20"/>
      <c r="K11" s="20"/>
      <c r="L11" s="20"/>
    </row>
    <row r="12" spans="1:12">
      <c r="A12" s="12">
        <v>4</v>
      </c>
      <c r="B12" s="20"/>
      <c r="C12" s="20"/>
      <c r="D12" s="20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0"/>
      <c r="D13" s="20"/>
      <c r="E13" s="17"/>
      <c r="F13" s="17"/>
      <c r="G13" s="37"/>
      <c r="H13" s="37"/>
      <c r="I13" s="19"/>
      <c r="J13" s="22"/>
      <c r="K13" s="23"/>
      <c r="L13" s="23"/>
    </row>
    <row r="14" spans="1:12">
      <c r="A14" s="12">
        <v>6</v>
      </c>
      <c r="B14" s="20"/>
      <c r="C14" s="20"/>
      <c r="D14" s="20"/>
      <c r="E14" s="17"/>
      <c r="F14" s="17"/>
      <c r="G14" s="37"/>
      <c r="H14" s="37"/>
      <c r="I14" s="19"/>
      <c r="J14" s="22"/>
      <c r="K14" s="23"/>
      <c r="L14" s="23"/>
    </row>
    <row r="15" spans="1:12">
      <c r="A15" s="12">
        <v>7</v>
      </c>
      <c r="B15" s="20"/>
      <c r="C15" s="20"/>
      <c r="D15" s="20"/>
      <c r="E15" s="16"/>
      <c r="F15" s="17"/>
      <c r="G15" s="37"/>
      <c r="H15" s="37"/>
      <c r="I15" s="19"/>
      <c r="J15" s="20"/>
      <c r="K15" s="20"/>
      <c r="L15" s="20"/>
    </row>
    <row r="16" spans="1:12">
      <c r="A16" s="12">
        <v>8</v>
      </c>
      <c r="B16" s="20"/>
      <c r="C16" s="20"/>
      <c r="D16" s="20"/>
      <c r="E16" s="17"/>
      <c r="F16" s="17"/>
      <c r="G16" s="37"/>
      <c r="H16" s="37"/>
      <c r="I16" s="19"/>
      <c r="J16" s="22"/>
      <c r="K16" s="23"/>
      <c r="L16" s="23"/>
    </row>
    <row r="17" spans="1:15">
      <c r="A17" s="12">
        <v>9</v>
      </c>
      <c r="B17" s="20"/>
      <c r="C17" s="20"/>
      <c r="D17" s="20"/>
      <c r="E17" s="17"/>
      <c r="F17" s="17"/>
      <c r="G17" s="37"/>
      <c r="H17" s="37"/>
      <c r="I17" s="19"/>
      <c r="J17" s="22"/>
      <c r="K17" s="23"/>
      <c r="L17" s="23"/>
    </row>
    <row r="18" spans="1:15">
      <c r="A18" s="12">
        <v>10</v>
      </c>
      <c r="B18" s="20"/>
      <c r="C18" s="20"/>
      <c r="D18" s="20"/>
      <c r="E18" s="17"/>
      <c r="F18" s="17"/>
      <c r="G18" s="37"/>
      <c r="H18" s="37"/>
      <c r="I18" s="19"/>
      <c r="J18" s="20"/>
      <c r="K18" s="20"/>
      <c r="L18" s="20"/>
    </row>
    <row r="19" spans="1:15">
      <c r="A19" s="12">
        <v>11</v>
      </c>
      <c r="B19" s="20"/>
      <c r="C19" s="20"/>
      <c r="D19" s="20"/>
      <c r="E19" s="17"/>
      <c r="F19" s="17"/>
      <c r="G19" s="37"/>
      <c r="H19" s="37"/>
      <c r="I19" s="19"/>
      <c r="J19" s="22"/>
      <c r="K19" s="20"/>
      <c r="L19" s="20"/>
    </row>
    <row r="20" spans="1:15">
      <c r="A20" s="12">
        <v>12</v>
      </c>
      <c r="B20" s="20"/>
      <c r="C20" s="20"/>
      <c r="D20" s="20"/>
      <c r="E20" s="17"/>
      <c r="F20" s="17"/>
      <c r="G20" s="37"/>
      <c r="H20" s="37"/>
      <c r="I20" s="19"/>
      <c r="J20" s="22"/>
      <c r="K20" s="23"/>
      <c r="L20" s="23"/>
    </row>
    <row r="21" spans="1:15">
      <c r="A21" s="12">
        <v>13</v>
      </c>
      <c r="B21" s="20"/>
      <c r="C21" s="20"/>
      <c r="D21" s="20"/>
      <c r="E21" s="17"/>
      <c r="F21" s="17"/>
      <c r="G21" s="37"/>
      <c r="H21" s="37"/>
      <c r="I21" s="19"/>
      <c r="J21" s="22"/>
      <c r="K21" s="23"/>
      <c r="L21" s="23"/>
    </row>
    <row r="22" spans="1:15">
      <c r="A22" s="12">
        <v>14</v>
      </c>
      <c r="B22" s="20"/>
      <c r="C22" s="20"/>
      <c r="D22" s="20"/>
      <c r="E22" s="17"/>
      <c r="F22" s="17"/>
      <c r="G22" s="37"/>
      <c r="H22" s="37"/>
      <c r="I22" s="20"/>
      <c r="J22" s="20"/>
      <c r="K22" s="20"/>
      <c r="L22" s="20"/>
    </row>
    <row r="23" spans="1:15">
      <c r="A23" s="12">
        <v>15</v>
      </c>
      <c r="B23" s="20"/>
      <c r="C23" s="20"/>
      <c r="D23" s="20"/>
      <c r="E23" s="17"/>
      <c r="F23" s="17"/>
      <c r="G23" s="37"/>
      <c r="H23" s="37"/>
      <c r="I23" s="20"/>
      <c r="J23" s="20"/>
      <c r="K23" s="20"/>
      <c r="L23" s="20"/>
    </row>
    <row r="24" spans="1:15">
      <c r="A24" s="12">
        <v>16</v>
      </c>
      <c r="B24" s="20"/>
      <c r="C24" s="20"/>
      <c r="D24" s="20"/>
      <c r="E24" s="17"/>
      <c r="F24" s="17"/>
      <c r="G24" s="37"/>
      <c r="H24" s="37"/>
      <c r="I24" s="20"/>
      <c r="J24" s="22"/>
      <c r="K24" s="23"/>
      <c r="L24" s="23"/>
    </row>
    <row r="25" spans="1:15">
      <c r="A25" s="12">
        <v>17</v>
      </c>
      <c r="B25" s="20"/>
      <c r="C25" s="20"/>
      <c r="D25" s="20"/>
      <c r="E25" s="17"/>
      <c r="F25" s="17"/>
      <c r="G25" s="37"/>
      <c r="H25" s="37"/>
      <c r="I25" s="19"/>
      <c r="J25" s="22"/>
      <c r="K25" s="23"/>
      <c r="L25" s="23"/>
    </row>
    <row r="26" spans="1:15">
      <c r="A26" s="12">
        <v>18</v>
      </c>
      <c r="B26" s="20"/>
      <c r="C26" s="20"/>
      <c r="D26" s="20"/>
      <c r="E26" s="17"/>
      <c r="F26" s="17"/>
      <c r="G26" s="37"/>
      <c r="H26" s="37"/>
      <c r="I26" s="22"/>
      <c r="J26" s="22"/>
      <c r="K26" s="23"/>
      <c r="L26" s="23"/>
    </row>
    <row r="27" spans="1:15">
      <c r="A27" s="12">
        <v>19</v>
      </c>
      <c r="B27" s="20"/>
      <c r="C27" s="20"/>
      <c r="D27" s="20"/>
      <c r="E27" s="17"/>
      <c r="F27" s="17"/>
      <c r="G27" s="37"/>
      <c r="H27" s="37"/>
      <c r="I27" s="20"/>
      <c r="J27" s="20"/>
      <c r="K27" s="20"/>
      <c r="L27" s="20"/>
    </row>
    <row r="28" spans="1:15">
      <c r="A28" s="12">
        <v>20</v>
      </c>
      <c r="B28" s="20"/>
      <c r="C28" s="20"/>
      <c r="D28" s="20"/>
      <c r="E28" s="17"/>
      <c r="F28" s="17"/>
      <c r="G28" s="37"/>
      <c r="H28" s="37"/>
      <c r="I28" s="19"/>
      <c r="J28" s="22"/>
      <c r="K28" s="23"/>
      <c r="L28" s="23"/>
    </row>
    <row r="29" spans="1:15">
      <c r="A29" s="12">
        <v>21</v>
      </c>
      <c r="B29" s="20"/>
      <c r="C29" s="20"/>
      <c r="D29" s="20"/>
      <c r="E29" s="17"/>
      <c r="F29" s="17"/>
      <c r="G29" s="37"/>
      <c r="H29" s="37"/>
      <c r="I29" s="20"/>
      <c r="J29" s="22"/>
      <c r="K29" s="23"/>
      <c r="L29" s="23"/>
    </row>
    <row r="30" spans="1:15">
      <c r="A30" s="12">
        <v>22</v>
      </c>
      <c r="B30" s="20"/>
      <c r="C30" s="20"/>
      <c r="D30" s="20"/>
      <c r="E30" s="17"/>
      <c r="F30" s="17"/>
      <c r="G30" s="37"/>
      <c r="H30" s="37"/>
      <c r="I30" s="19"/>
      <c r="J30" s="20"/>
      <c r="K30" s="20"/>
      <c r="L30" s="20"/>
      <c r="O30" t="s">
        <v>154</v>
      </c>
    </row>
    <row r="31" spans="1:15">
      <c r="A31" s="12">
        <v>23</v>
      </c>
      <c r="B31" s="12"/>
      <c r="C31" s="21"/>
      <c r="D31" s="17"/>
      <c r="E31" s="16"/>
      <c r="F31" s="17"/>
      <c r="G31" s="18"/>
      <c r="H31" s="18"/>
      <c r="I31" s="20"/>
      <c r="J31" s="22"/>
      <c r="K31" s="23"/>
      <c r="L31" s="23"/>
    </row>
    <row r="32" spans="1:15">
      <c r="A32" s="12">
        <v>24</v>
      </c>
      <c r="B32" s="12"/>
      <c r="C32" s="21"/>
      <c r="D32" s="17"/>
      <c r="E32" s="16"/>
      <c r="F32" s="17"/>
      <c r="G32" s="18"/>
      <c r="H32" s="18"/>
      <c r="I32" s="20"/>
      <c r="J32" s="20"/>
      <c r="K32" s="20"/>
      <c r="L32" s="20"/>
    </row>
    <row r="33" spans="1:12">
      <c r="A33" s="12">
        <v>25</v>
      </c>
      <c r="B33" s="12"/>
      <c r="C33" s="21"/>
      <c r="D33" s="17"/>
      <c r="E33" s="16"/>
      <c r="F33" s="17"/>
      <c r="G33" s="18"/>
      <c r="H33" s="18"/>
      <c r="I33" s="20"/>
      <c r="J33" s="20"/>
      <c r="K33" s="20"/>
      <c r="L33" s="20"/>
    </row>
    <row r="34" spans="1:12">
      <c r="A34" s="12">
        <v>26</v>
      </c>
      <c r="B34" s="12"/>
      <c r="C34" s="14"/>
      <c r="D34" s="15"/>
      <c r="E34" s="16"/>
      <c r="F34" s="17"/>
      <c r="G34" s="18"/>
      <c r="H34" s="18"/>
      <c r="I34" s="20"/>
      <c r="J34" s="20"/>
      <c r="K34" s="20"/>
      <c r="L34" s="20"/>
    </row>
    <row r="35" spans="1:12">
      <c r="A35" s="12">
        <v>27</v>
      </c>
      <c r="B35" s="12"/>
      <c r="C35" s="14"/>
      <c r="D35" s="17"/>
      <c r="E35" s="16"/>
      <c r="F35" s="17"/>
      <c r="G35" s="18"/>
      <c r="H35" s="18"/>
      <c r="I35" s="20"/>
      <c r="J35" s="20"/>
      <c r="K35" s="20"/>
      <c r="L35" s="20"/>
    </row>
    <row r="36" spans="1:12">
      <c r="A36" s="12">
        <v>28</v>
      </c>
      <c r="B36" s="12"/>
      <c r="C36" s="21"/>
      <c r="D36" s="17"/>
      <c r="E36" s="16"/>
      <c r="F36" s="17"/>
      <c r="G36" s="18"/>
      <c r="H36" s="18"/>
      <c r="I36" s="20"/>
      <c r="J36" s="20"/>
      <c r="K36" s="20"/>
      <c r="L36" s="20"/>
    </row>
    <row r="37" spans="1:12">
      <c r="A37" s="12">
        <v>29</v>
      </c>
      <c r="B37" s="12"/>
      <c r="C37" s="21"/>
      <c r="D37" s="17"/>
      <c r="E37" s="16"/>
      <c r="F37" s="17"/>
      <c r="G37" s="18"/>
      <c r="H37" s="18"/>
      <c r="I37" s="20"/>
      <c r="J37" s="20"/>
      <c r="K37" s="20"/>
      <c r="L37" s="20"/>
    </row>
    <row r="38" spans="1:12">
      <c r="A38" s="12">
        <v>30</v>
      </c>
      <c r="B38" s="12"/>
      <c r="C38" s="21"/>
      <c r="D38" s="17"/>
      <c r="E38" s="17"/>
      <c r="F38" s="16"/>
      <c r="G38" s="18"/>
      <c r="H38" s="18"/>
      <c r="I38" s="20"/>
      <c r="J38" s="20"/>
      <c r="K38" s="20"/>
      <c r="L38" s="20"/>
    </row>
    <row r="39" spans="1:12">
      <c r="A39" s="12">
        <v>31</v>
      </c>
      <c r="B39" s="12"/>
      <c r="C39" s="21"/>
      <c r="D39" s="17"/>
      <c r="E39" s="16"/>
      <c r="F39" s="17"/>
      <c r="G39" s="18"/>
      <c r="H39" s="18"/>
      <c r="I39" s="20"/>
      <c r="J39" s="20"/>
      <c r="K39" s="20"/>
      <c r="L39" s="20"/>
    </row>
    <row r="40" spans="1:12">
      <c r="A40" s="12">
        <v>32</v>
      </c>
      <c r="B40" s="20"/>
      <c r="C40" s="20"/>
      <c r="D40" s="20"/>
      <c r="E40" s="17"/>
      <c r="F40" s="17"/>
      <c r="G40" s="17"/>
      <c r="H40" s="17"/>
      <c r="I40" s="20"/>
      <c r="J40" s="20"/>
      <c r="K40" s="20"/>
      <c r="L40" s="20"/>
    </row>
    <row r="41" spans="1:12">
      <c r="A41" s="12">
        <v>33</v>
      </c>
      <c r="B41" s="20"/>
      <c r="C41" s="20"/>
      <c r="D41" s="20"/>
      <c r="E41" s="17"/>
      <c r="F41" s="17"/>
      <c r="G41" s="17"/>
      <c r="H41" s="17"/>
      <c r="I41" s="20"/>
      <c r="J41" s="20"/>
      <c r="K41" s="20"/>
      <c r="L41" s="20"/>
    </row>
    <row r="42" spans="1:12">
      <c r="A42" s="12">
        <v>34</v>
      </c>
      <c r="B42" s="20"/>
      <c r="C42" s="20"/>
      <c r="D42" s="20"/>
      <c r="E42" s="17"/>
      <c r="F42" s="17"/>
      <c r="G42" s="17"/>
      <c r="H42" s="17"/>
      <c r="I42" s="20"/>
      <c r="J42" s="20"/>
      <c r="K42" s="20"/>
      <c r="L42" s="20"/>
    </row>
    <row r="43" spans="1:12">
      <c r="A43" s="12">
        <v>35</v>
      </c>
      <c r="B43" s="20"/>
      <c r="C43" s="20"/>
      <c r="D43" s="20"/>
      <c r="E43" s="17"/>
      <c r="F43" s="17"/>
      <c r="G43" s="17"/>
      <c r="H43" s="17"/>
      <c r="I43" s="20"/>
      <c r="J43" s="20"/>
      <c r="K43" s="20"/>
      <c r="L43" s="20"/>
    </row>
    <row r="44" spans="1:12">
      <c r="A44" s="12">
        <v>36</v>
      </c>
      <c r="B44" s="20"/>
      <c r="C44" s="20"/>
      <c r="D44" s="20"/>
      <c r="E44" s="17"/>
      <c r="F44" s="17"/>
      <c r="G44" s="17"/>
      <c r="H44" s="17"/>
      <c r="I44" s="20"/>
      <c r="J44" s="20"/>
      <c r="K44" s="20"/>
      <c r="L44" s="20"/>
    </row>
    <row r="45" spans="1:12">
      <c r="A45" s="12">
        <v>37</v>
      </c>
      <c r="B45" s="20"/>
      <c r="C45" s="20"/>
      <c r="D45" s="20"/>
      <c r="E45" s="17"/>
      <c r="F45" s="17"/>
      <c r="G45" s="17"/>
      <c r="H45" s="17"/>
      <c r="I45" s="20"/>
      <c r="J45" s="20"/>
      <c r="K45" s="20"/>
      <c r="L45" s="20"/>
    </row>
    <row r="46" spans="1:12">
      <c r="A46" s="12">
        <v>38</v>
      </c>
      <c r="B46" s="20"/>
      <c r="C46" s="20"/>
      <c r="D46" s="20"/>
      <c r="E46" s="17"/>
      <c r="F46" s="17"/>
      <c r="G46" s="17"/>
      <c r="H46" s="17"/>
      <c r="I46" s="20"/>
      <c r="J46" s="20"/>
      <c r="K46" s="20"/>
      <c r="L46" s="20"/>
    </row>
    <row r="47" spans="1:12">
      <c r="A47" s="12">
        <v>39</v>
      </c>
      <c r="B47" s="20"/>
      <c r="C47" s="20"/>
      <c r="D47" s="20"/>
      <c r="E47" s="17"/>
      <c r="F47" s="17"/>
      <c r="G47" s="17"/>
      <c r="H47" s="17"/>
      <c r="I47" s="20"/>
      <c r="J47" s="20"/>
      <c r="K47" s="20"/>
      <c r="L47" s="20"/>
    </row>
    <row r="48" spans="1:12">
      <c r="A48" s="12">
        <v>40</v>
      </c>
      <c r="B48" s="20"/>
      <c r="C48" s="20"/>
      <c r="D48" s="20"/>
      <c r="E48" s="17"/>
      <c r="F48" s="17"/>
      <c r="G48" s="17"/>
      <c r="H48" s="17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17"/>
      <c r="F49" s="17"/>
      <c r="G49" s="17"/>
      <c r="H49" s="17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>
      <c r="B124" s="24" t="s">
        <v>1</v>
      </c>
      <c r="C124" s="25" cm="1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 cm="1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 cm="1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 cm="1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 cm="1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 cm="1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 cm="1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 cm="1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 cm="1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 cm="1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 cm="1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 cm="1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 cm="1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 cm="1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 cm="1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 cm="1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 cm="1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 cm="1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 cm="1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>
      <c r="B135" s="24" t="s">
        <v>2</v>
      </c>
      <c r="C135" s="25" cm="1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 cm="1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 cm="1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 cm="1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 cm="1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 cm="1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 cm="1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 cm="1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 cm="1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 cm="1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 cm="1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 cm="1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 cm="1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 cm="1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 cm="1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 cm="1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 cm="1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 cm="1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>
      <c r="B146" s="30" t="s">
        <v>3</v>
      </c>
      <c r="C146" s="25" cm="1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 cm="1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 cm="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 cm="1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 cm="1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 cm="1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 cm="1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 cm="1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 cm="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 cm="1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 cm="1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 cm="1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 cm="1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 cm="1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 cm="1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 cm="1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 cm="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 cm="1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>
      <c r="B157" s="28" t="s">
        <v>42</v>
      </c>
      <c r="C157" s="32" cm="1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 cm="1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 cm="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 cm="1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 cm="1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 cm="1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 cm="1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 cm="1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 cm="1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 cm="1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 cm="1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 cm="1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 cm="1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 cm="1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 cm="1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 cm="1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 cm="1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 cm="1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>
      <c r="B168" s="28" t="s">
        <v>12</v>
      </c>
      <c r="C168" s="25" cm="1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 cm="1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 cm="1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 cm="1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 cm="1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 cm="1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 cm="1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 cm="1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 cm="1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 cm="1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 cm="1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 cm="1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 cm="1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 cm="1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 cm="1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 cm="1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 cm="1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 cm="1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>
      <c r="B179" s="26" t="s">
        <v>43</v>
      </c>
      <c r="C179" s="25" cm="1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 cm="1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 cm="1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 cm="1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 cm="1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 cm="1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 cm="1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 cm="1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 cm="1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 cm="1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 cm="1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 cm="1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 cm="1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 cm="1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 cm="1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 cm="1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 cm="1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 cm="1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>
      <c r="B190" s="28" t="s">
        <v>20</v>
      </c>
      <c r="C190" s="25" cm="1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 cm="1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 cm="1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 cm="1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 cm="1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 cm="1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 cm="1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 cm="1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 cm="1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 cm="1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 cm="1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 cm="1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 cm="1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 cm="1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 cm="1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 cm="1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 cm="1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 cm="1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>
      <c r="B201" s="26" t="s">
        <v>44</v>
      </c>
      <c r="C201" s="25" cm="1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 cm="1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 cm="1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 cm="1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 cm="1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 cm="1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 cm="1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 cm="1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 cm="1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 cm="1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 cm="1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 cm="1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 cm="1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 cm="1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 cm="1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 cm="1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 cm="1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 cm="1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>
      <c r="B212" s="26" t="s">
        <v>13</v>
      </c>
      <c r="C212" s="25" cm="1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 cm="1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 cm="1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 cm="1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 cm="1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 cm="1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 cm="1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 cm="1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 cm="1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 cm="1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 cm="1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 cm="1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 cm="1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 cm="1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 cm="1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 cm="1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 cm="1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 cm="1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>
      <c r="B223" s="26" t="s">
        <v>46</v>
      </c>
      <c r="C223" s="25" cm="1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 cm="1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 cm="1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 cm="1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 cm="1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 cm="1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 cm="1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 cm="1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 cm="1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 cm="1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 cm="1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 cm="1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 cm="1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 cm="1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 cm="1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 cm="1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 cm="1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 cm="1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>
      <c r="B234" s="28" t="s">
        <v>47</v>
      </c>
      <c r="C234" s="25" cm="1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 cm="1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 cm="1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 cm="1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 cm="1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 cm="1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 cm="1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 cm="1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 cm="1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50</v>
      </c>
      <c r="C246" s="20" t="s">
        <v>51</v>
      </c>
      <c r="D246" s="20" t="s">
        <v>52</v>
      </c>
      <c r="E246" s="20" t="s">
        <v>53</v>
      </c>
      <c r="F246" s="20" t="s">
        <v>54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mergeCells count="5">
    <mergeCell ref="A1:L1"/>
    <mergeCell ref="A2:L2"/>
    <mergeCell ref="F3:H3"/>
    <mergeCell ref="K3:L7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100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258"/>
  <sheetViews>
    <sheetView zoomScale="98" zoomScaleNormal="45" workbookViewId="0">
      <selection activeCell="G32" sqref="G32"/>
    </sheetView>
  </sheetViews>
  <sheetFormatPr defaultRowHeight="13.8"/>
  <cols>
    <col min="1" max="1" width="4.09765625" customWidth="1"/>
    <col min="2" max="2" width="21.5" customWidth="1"/>
    <col min="3" max="3" width="10.5" customWidth="1"/>
    <col min="4" max="4" width="10.19921875" customWidth="1"/>
    <col min="5" max="5" width="8.5" customWidth="1"/>
    <col min="6" max="6" width="11.8984375" customWidth="1"/>
    <col min="7" max="7" width="10.5" customWidth="1"/>
    <col min="8" max="8" width="10.19921875" customWidth="1"/>
    <col min="9" max="9" width="8" customWidth="1"/>
  </cols>
  <sheetData>
    <row r="1" spans="1:12" ht="22.2">
      <c r="A1" s="58">
        <v>45928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2">
      <c r="A2" s="59" t="s">
        <v>0</v>
      </c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6"/>
      <c r="L3" s="6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9"/>
      <c r="L4" s="9"/>
    </row>
    <row r="5" spans="1:12" ht="14.25" customHeight="1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2"/>
      <c r="L5" s="2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9"/>
      <c r="L6" s="9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"/>
      <c r="L7" s="2"/>
    </row>
    <row r="8" spans="1:12" ht="55.2">
      <c r="A8" s="35" t="s">
        <v>23</v>
      </c>
      <c r="B8" s="35" t="s">
        <v>24</v>
      </c>
      <c r="C8" s="35" t="s">
        <v>25</v>
      </c>
      <c r="D8" s="11" t="s">
        <v>26</v>
      </c>
      <c r="E8" s="36" t="s">
        <v>27</v>
      </c>
      <c r="F8" s="35" t="s">
        <v>28</v>
      </c>
      <c r="G8" s="36" t="s">
        <v>29</v>
      </c>
      <c r="H8" s="11" t="s">
        <v>30</v>
      </c>
      <c r="I8" s="36" t="s">
        <v>55</v>
      </c>
      <c r="J8" s="36" t="s">
        <v>31</v>
      </c>
      <c r="K8" s="38" t="s">
        <v>32</v>
      </c>
      <c r="L8" s="36"/>
    </row>
    <row r="9" spans="1:12">
      <c r="A9" s="12">
        <v>1</v>
      </c>
      <c r="B9" s="12"/>
      <c r="C9" s="14"/>
      <c r="D9" s="17"/>
      <c r="E9" s="17"/>
      <c r="F9" s="17"/>
      <c r="G9" s="37"/>
      <c r="H9" s="37"/>
      <c r="I9" s="19"/>
      <c r="J9" s="20"/>
      <c r="K9" s="20"/>
      <c r="L9" s="20"/>
    </row>
    <row r="10" spans="1:12">
      <c r="A10" s="12">
        <v>2</v>
      </c>
      <c r="B10" s="12"/>
      <c r="C10" s="14"/>
      <c r="D10" s="17"/>
      <c r="E10" s="17"/>
      <c r="F10" s="17"/>
      <c r="G10" s="37"/>
      <c r="H10" s="37"/>
      <c r="I10" s="19"/>
      <c r="J10" s="22"/>
      <c r="K10" s="23"/>
      <c r="L10" s="23"/>
    </row>
    <row r="11" spans="1:12">
      <c r="A11" s="12">
        <v>3</v>
      </c>
      <c r="B11" s="12"/>
      <c r="C11" s="20"/>
      <c r="D11" s="17"/>
      <c r="E11" s="16"/>
      <c r="F11" s="17"/>
      <c r="G11" s="37"/>
      <c r="H11" s="37"/>
      <c r="I11" s="19"/>
      <c r="J11" s="20"/>
      <c r="K11" s="20"/>
      <c r="L11" s="20"/>
    </row>
    <row r="12" spans="1:12">
      <c r="A12" s="12">
        <v>4</v>
      </c>
      <c r="B12" s="20"/>
      <c r="C12" s="20"/>
      <c r="D12" s="20"/>
      <c r="E12" s="17"/>
      <c r="F12" s="17"/>
      <c r="G12" s="37"/>
      <c r="H12" s="37"/>
      <c r="I12" s="19"/>
      <c r="J12" s="20"/>
      <c r="K12" s="20"/>
      <c r="L12" s="20"/>
    </row>
    <row r="13" spans="1:12">
      <c r="A13" s="12">
        <v>5</v>
      </c>
      <c r="B13" s="20"/>
      <c r="C13" s="20"/>
      <c r="D13" s="20"/>
      <c r="E13" s="17"/>
      <c r="F13" s="17"/>
      <c r="G13" s="37"/>
      <c r="H13" s="37"/>
      <c r="I13" s="19"/>
      <c r="J13" s="22"/>
      <c r="K13" s="23"/>
      <c r="L13" s="23"/>
    </row>
    <row r="14" spans="1:12">
      <c r="A14" s="12">
        <v>6</v>
      </c>
      <c r="B14" s="20"/>
      <c r="C14" s="20"/>
      <c r="D14" s="20"/>
      <c r="E14" s="17"/>
      <c r="F14" s="20"/>
      <c r="G14" s="40"/>
      <c r="H14" s="37"/>
      <c r="I14" s="20"/>
      <c r="J14" s="22"/>
      <c r="K14" s="23"/>
      <c r="L14" s="23"/>
    </row>
    <row r="15" spans="1:12">
      <c r="A15" s="12">
        <v>7</v>
      </c>
      <c r="B15" s="20"/>
      <c r="C15" s="20"/>
      <c r="D15" s="20"/>
      <c r="E15" s="17"/>
      <c r="F15" s="20"/>
      <c r="G15" s="40"/>
      <c r="H15" s="37"/>
      <c r="I15" s="20"/>
      <c r="J15" s="20"/>
      <c r="K15" s="20"/>
      <c r="L15" s="20"/>
    </row>
    <row r="16" spans="1:12">
      <c r="A16" s="12">
        <v>8</v>
      </c>
      <c r="B16" s="12"/>
      <c r="C16" s="21"/>
      <c r="D16" s="17"/>
      <c r="E16" s="16"/>
      <c r="F16" s="17"/>
      <c r="G16" s="37"/>
      <c r="H16" s="37"/>
      <c r="I16" s="19"/>
      <c r="J16" s="22"/>
      <c r="K16" s="23"/>
      <c r="L16" s="23"/>
    </row>
    <row r="17" spans="1:12">
      <c r="A17" s="12">
        <v>9</v>
      </c>
      <c r="B17" s="12"/>
      <c r="C17" s="20"/>
      <c r="D17" s="17"/>
      <c r="E17" s="16"/>
      <c r="F17" s="17"/>
      <c r="G17" s="37"/>
      <c r="H17" s="37"/>
      <c r="I17" s="19"/>
      <c r="J17" s="22"/>
      <c r="K17" s="23"/>
      <c r="L17" s="23"/>
    </row>
    <row r="18" spans="1:12">
      <c r="A18" s="12">
        <v>10</v>
      </c>
      <c r="B18" s="20"/>
      <c r="C18" s="20"/>
      <c r="D18" s="20"/>
      <c r="E18" s="16"/>
      <c r="F18" s="17"/>
      <c r="G18" s="37"/>
      <c r="H18" s="37"/>
      <c r="I18" s="19"/>
      <c r="J18" s="20"/>
      <c r="K18" s="20"/>
      <c r="L18" s="20"/>
    </row>
    <row r="19" spans="1:12">
      <c r="A19" s="12">
        <v>11</v>
      </c>
      <c r="B19" s="20"/>
      <c r="C19" s="20"/>
      <c r="D19" s="20"/>
      <c r="E19" s="16"/>
      <c r="F19" s="17"/>
      <c r="G19" s="37"/>
      <c r="H19" s="37"/>
      <c r="I19" s="19"/>
      <c r="J19" s="22"/>
      <c r="K19" s="20"/>
      <c r="L19" s="20"/>
    </row>
    <row r="20" spans="1:12">
      <c r="A20" s="12">
        <v>12</v>
      </c>
      <c r="B20" s="12"/>
      <c r="C20" s="20"/>
      <c r="D20" s="17"/>
      <c r="E20" s="16"/>
      <c r="F20" s="17"/>
      <c r="G20" s="37"/>
      <c r="H20" s="37"/>
      <c r="I20" s="19"/>
      <c r="J20" s="22"/>
      <c r="K20" s="23"/>
      <c r="L20" s="23"/>
    </row>
    <row r="21" spans="1:12">
      <c r="A21" s="12">
        <v>13</v>
      </c>
      <c r="B21" s="20"/>
      <c r="C21" s="20"/>
      <c r="D21" s="20"/>
      <c r="E21" s="17"/>
      <c r="F21" s="20"/>
      <c r="G21" s="40"/>
      <c r="H21" s="37"/>
      <c r="I21" s="20"/>
      <c r="J21" s="22"/>
      <c r="K21" s="23"/>
      <c r="L21" s="23"/>
    </row>
    <row r="22" spans="1:12">
      <c r="A22" s="12">
        <v>14</v>
      </c>
      <c r="B22" s="20"/>
      <c r="C22" s="20"/>
      <c r="D22" s="20"/>
      <c r="E22" s="17"/>
      <c r="F22" s="17"/>
      <c r="G22" s="37"/>
      <c r="H22" s="37"/>
      <c r="I22" s="19"/>
      <c r="J22" s="20"/>
      <c r="K22" s="20"/>
      <c r="L22" s="20"/>
    </row>
    <row r="23" spans="1:12">
      <c r="A23" s="12">
        <v>15</v>
      </c>
      <c r="B23" s="12"/>
      <c r="C23" s="21"/>
      <c r="D23" s="17"/>
      <c r="E23" s="17"/>
      <c r="F23" s="17"/>
      <c r="G23" s="37"/>
      <c r="H23" s="37"/>
      <c r="I23" s="19"/>
      <c r="J23" s="20"/>
      <c r="K23" s="20"/>
      <c r="L23" s="20"/>
    </row>
    <row r="24" spans="1:12">
      <c r="A24" s="12">
        <v>16</v>
      </c>
      <c r="B24" s="20"/>
      <c r="C24" s="20"/>
      <c r="D24" s="20"/>
      <c r="E24" s="17"/>
      <c r="F24" s="17"/>
      <c r="G24" s="37"/>
      <c r="H24" s="37"/>
      <c r="I24" s="19"/>
      <c r="J24" s="22"/>
      <c r="K24" s="23"/>
      <c r="L24" s="23"/>
    </row>
    <row r="25" spans="1:12">
      <c r="A25" s="12">
        <v>17</v>
      </c>
      <c r="B25" s="12"/>
      <c r="C25" s="14"/>
      <c r="D25" s="15"/>
      <c r="E25" s="16"/>
      <c r="F25" s="17"/>
      <c r="G25" s="37"/>
      <c r="H25" s="37"/>
      <c r="I25" s="19"/>
      <c r="J25" s="22"/>
      <c r="K25" s="23"/>
      <c r="L25" s="23"/>
    </row>
    <row r="26" spans="1:12">
      <c r="A26" s="12">
        <v>18</v>
      </c>
      <c r="B26" s="20"/>
      <c r="C26" s="20"/>
      <c r="D26" s="20"/>
      <c r="E26" s="17"/>
      <c r="F26" s="17"/>
      <c r="G26" s="37"/>
      <c r="H26" s="37"/>
      <c r="I26" s="19"/>
      <c r="J26" s="22"/>
      <c r="K26" s="23"/>
      <c r="L26" s="23"/>
    </row>
    <row r="27" spans="1:12">
      <c r="A27" s="12">
        <v>19</v>
      </c>
      <c r="B27" s="20"/>
      <c r="C27" s="20"/>
      <c r="D27" s="20"/>
      <c r="E27" s="17"/>
      <c r="F27" s="17"/>
      <c r="G27" s="37"/>
      <c r="H27" s="37"/>
      <c r="I27" s="19"/>
      <c r="J27" s="20"/>
      <c r="K27" s="20"/>
      <c r="L27" s="20"/>
    </row>
    <row r="28" spans="1:12">
      <c r="A28" s="12">
        <v>20</v>
      </c>
      <c r="B28" s="20"/>
      <c r="C28" s="20"/>
      <c r="D28" s="20"/>
      <c r="E28" s="17"/>
      <c r="F28" s="17"/>
      <c r="G28" s="37"/>
      <c r="H28" s="37"/>
      <c r="I28" s="19"/>
      <c r="J28" s="22"/>
      <c r="K28" s="23"/>
      <c r="L28" s="23"/>
    </row>
    <row r="29" spans="1:12">
      <c r="A29" s="12">
        <v>21</v>
      </c>
      <c r="B29" s="20"/>
      <c r="C29" s="20"/>
      <c r="D29" s="20"/>
      <c r="E29" s="17"/>
      <c r="F29" s="17"/>
      <c r="G29" s="37"/>
      <c r="H29" s="37"/>
      <c r="I29" s="19"/>
      <c r="J29" s="22"/>
      <c r="K29" s="23"/>
      <c r="L29" s="23"/>
    </row>
    <row r="30" spans="1:12">
      <c r="A30" s="12">
        <v>22</v>
      </c>
      <c r="B30" s="20"/>
      <c r="C30" s="20"/>
      <c r="D30" s="20"/>
      <c r="E30" s="17"/>
      <c r="F30" s="17"/>
      <c r="G30" s="37"/>
      <c r="H30" s="37"/>
      <c r="I30" s="19"/>
      <c r="J30" s="20"/>
      <c r="K30" s="20"/>
      <c r="L30" s="20"/>
    </row>
    <row r="31" spans="1:12">
      <c r="A31" s="12">
        <v>23</v>
      </c>
      <c r="B31" s="20"/>
      <c r="C31" s="20"/>
      <c r="D31" s="20"/>
      <c r="E31" s="17"/>
      <c r="F31" s="17"/>
      <c r="G31" s="37"/>
      <c r="H31" s="37"/>
      <c r="I31" s="19"/>
      <c r="J31" s="22"/>
      <c r="K31" s="23"/>
      <c r="L31" s="23"/>
    </row>
    <row r="32" spans="1:12">
      <c r="A32" s="12">
        <v>24</v>
      </c>
      <c r="B32" s="20"/>
      <c r="C32" s="20"/>
      <c r="D32" s="20"/>
      <c r="E32" s="17"/>
      <c r="F32" s="17"/>
      <c r="G32" s="37"/>
      <c r="H32" s="37"/>
      <c r="I32" s="19"/>
      <c r="J32" s="20"/>
      <c r="K32" s="20"/>
      <c r="L32" s="20"/>
    </row>
    <row r="33" spans="1:12">
      <c r="A33" s="12">
        <v>25</v>
      </c>
      <c r="B33" s="20"/>
      <c r="C33" s="20"/>
      <c r="D33" s="20"/>
      <c r="E33" s="17"/>
      <c r="F33" s="17"/>
      <c r="G33" s="37"/>
      <c r="H33" s="37"/>
      <c r="I33" s="19"/>
      <c r="J33" s="20"/>
      <c r="K33" s="20"/>
      <c r="L33" s="20"/>
    </row>
    <row r="34" spans="1:12">
      <c r="A34" s="12">
        <v>26</v>
      </c>
      <c r="B34" s="20"/>
      <c r="C34" s="20"/>
      <c r="D34" s="20"/>
      <c r="E34" s="17"/>
      <c r="F34" s="17"/>
      <c r="G34" s="37"/>
      <c r="H34" s="37"/>
      <c r="I34" s="19"/>
      <c r="J34" s="20"/>
      <c r="K34" s="20" t="s">
        <v>81</v>
      </c>
      <c r="L34" s="20"/>
    </row>
    <row r="35" spans="1:12">
      <c r="A35" s="12">
        <v>27</v>
      </c>
      <c r="B35" s="12"/>
      <c r="C35" s="14"/>
      <c r="D35" s="17"/>
      <c r="E35" s="17"/>
      <c r="F35" s="17"/>
      <c r="G35" s="37"/>
      <c r="H35" s="37"/>
      <c r="I35" s="19"/>
      <c r="J35" s="20"/>
      <c r="K35" s="20"/>
      <c r="L35" s="20"/>
    </row>
    <row r="36" spans="1:12">
      <c r="A36" s="12">
        <v>28</v>
      </c>
      <c r="B36" s="20"/>
      <c r="C36" s="21"/>
      <c r="D36" s="20"/>
      <c r="E36" s="16"/>
      <c r="F36" s="17"/>
      <c r="G36" s="37"/>
      <c r="H36" s="37"/>
      <c r="I36" s="19"/>
      <c r="J36" s="20"/>
      <c r="K36" s="20"/>
      <c r="L36" s="20"/>
    </row>
    <row r="37" spans="1:12">
      <c r="A37" s="12">
        <v>29</v>
      </c>
      <c r="B37" s="20"/>
      <c r="C37" s="20"/>
      <c r="D37" s="20"/>
      <c r="E37" s="17"/>
      <c r="F37" s="17"/>
      <c r="G37" s="37"/>
      <c r="H37" s="37"/>
      <c r="I37" s="19"/>
      <c r="J37" s="20"/>
      <c r="K37" s="20"/>
      <c r="L37" s="20"/>
    </row>
    <row r="38" spans="1:12">
      <c r="A38" s="12">
        <v>30</v>
      </c>
      <c r="B38" s="12"/>
      <c r="C38" s="20"/>
      <c r="D38" s="17"/>
      <c r="E38" s="16"/>
      <c r="F38" s="17"/>
      <c r="G38" s="37"/>
      <c r="H38" s="37"/>
      <c r="I38" s="19"/>
      <c r="J38" s="20"/>
      <c r="K38" s="20"/>
      <c r="L38" s="20"/>
    </row>
    <row r="39" spans="1:12">
      <c r="A39" s="12">
        <v>31</v>
      </c>
      <c r="B39" s="12"/>
      <c r="C39" s="20"/>
      <c r="D39" s="17"/>
      <c r="E39" s="16"/>
      <c r="F39" s="17"/>
      <c r="G39" s="37"/>
      <c r="H39" s="37"/>
      <c r="I39" s="19"/>
      <c r="J39" s="20"/>
      <c r="K39" s="20"/>
      <c r="L39" s="20"/>
    </row>
    <row r="40" spans="1:12">
      <c r="A40" s="12">
        <v>32</v>
      </c>
      <c r="B40" s="20"/>
      <c r="C40" s="20"/>
      <c r="D40" s="20"/>
      <c r="E40" s="17"/>
      <c r="F40" s="17"/>
      <c r="G40" s="37"/>
      <c r="H40" s="37"/>
      <c r="I40" s="19"/>
      <c r="J40" s="20"/>
      <c r="K40" s="20"/>
      <c r="L40" s="20"/>
    </row>
    <row r="41" spans="1:12">
      <c r="A41" s="12">
        <v>33</v>
      </c>
      <c r="B41" s="20"/>
      <c r="C41" s="20"/>
      <c r="D41" s="20"/>
      <c r="E41" s="17"/>
      <c r="F41" s="17"/>
      <c r="G41" s="37"/>
      <c r="H41" s="37"/>
      <c r="I41" s="19"/>
      <c r="J41" s="20"/>
      <c r="K41" s="20"/>
      <c r="L41" s="20"/>
    </row>
    <row r="42" spans="1:12">
      <c r="A42" s="12">
        <v>34</v>
      </c>
      <c r="B42" s="12"/>
      <c r="C42" s="20"/>
      <c r="D42" s="17"/>
      <c r="E42" s="17"/>
      <c r="F42" s="17"/>
      <c r="G42" s="37"/>
      <c r="H42" s="37"/>
      <c r="I42" s="19"/>
      <c r="J42" s="20"/>
      <c r="K42" s="20"/>
      <c r="L42" s="20"/>
    </row>
    <row r="43" spans="1:12">
      <c r="A43" s="12">
        <v>35</v>
      </c>
      <c r="B43" s="20"/>
      <c r="C43" s="20"/>
      <c r="D43" s="20"/>
      <c r="E43" s="17"/>
      <c r="F43" s="17"/>
      <c r="G43" s="37"/>
      <c r="H43" s="37"/>
      <c r="I43" s="19"/>
      <c r="J43" s="20"/>
      <c r="K43" s="20"/>
      <c r="L43" s="20"/>
    </row>
    <row r="44" spans="1:12">
      <c r="A44" s="12">
        <v>36</v>
      </c>
      <c r="B44" s="20"/>
      <c r="C44" s="20"/>
      <c r="D44" s="20"/>
      <c r="E44" s="17"/>
      <c r="F44" s="17"/>
      <c r="G44" s="37"/>
      <c r="H44" s="37"/>
      <c r="I44" s="19"/>
      <c r="J44" s="20"/>
      <c r="K44" s="20"/>
      <c r="L44" s="20"/>
    </row>
    <row r="45" spans="1:12">
      <c r="A45" s="12">
        <v>37</v>
      </c>
      <c r="B45" s="20"/>
      <c r="C45" s="20"/>
      <c r="D45" s="20"/>
      <c r="E45" s="17"/>
      <c r="F45" s="17"/>
      <c r="G45" s="37"/>
      <c r="H45" s="37"/>
      <c r="I45" s="19"/>
      <c r="J45" s="20"/>
      <c r="K45" s="20"/>
      <c r="L45" s="20"/>
    </row>
    <row r="46" spans="1:12">
      <c r="A46" s="12">
        <v>38</v>
      </c>
      <c r="B46" s="20"/>
      <c r="C46" s="20"/>
      <c r="D46" s="20"/>
      <c r="E46" s="17"/>
      <c r="F46" s="17"/>
      <c r="G46" s="37"/>
      <c r="H46" s="37"/>
      <c r="I46" s="19"/>
      <c r="J46" s="20"/>
      <c r="K46" s="20"/>
      <c r="L46" s="20"/>
    </row>
    <row r="47" spans="1:12">
      <c r="A47" s="12">
        <v>39</v>
      </c>
      <c r="B47" s="20"/>
      <c r="C47" s="20"/>
      <c r="D47" s="20"/>
      <c r="E47" s="17"/>
      <c r="F47" s="17"/>
      <c r="G47" s="37"/>
      <c r="H47" s="37"/>
      <c r="I47" s="19"/>
      <c r="J47" s="20"/>
      <c r="K47" s="20"/>
      <c r="L47" s="20"/>
    </row>
    <row r="48" spans="1:12">
      <c r="A48" s="12">
        <v>40</v>
      </c>
      <c r="B48" s="20"/>
      <c r="C48" s="20"/>
      <c r="D48" s="20"/>
      <c r="E48" s="17"/>
      <c r="F48" s="17"/>
      <c r="G48" s="37"/>
      <c r="H48" s="37"/>
      <c r="I48" s="19"/>
      <c r="J48" s="20"/>
      <c r="K48" s="20"/>
      <c r="L48" s="20"/>
    </row>
    <row r="49" spans="1:12">
      <c r="A49" s="12">
        <v>41</v>
      </c>
      <c r="B49" s="20"/>
      <c r="C49" s="20"/>
      <c r="D49" s="20"/>
      <c r="E49" s="17"/>
      <c r="F49" s="17"/>
      <c r="G49" s="37"/>
      <c r="H49" s="37"/>
      <c r="I49" s="19"/>
      <c r="J49" s="20"/>
      <c r="K49" s="20"/>
      <c r="L49" s="20"/>
    </row>
    <row r="50" spans="1:12">
      <c r="A50" s="12">
        <v>42</v>
      </c>
      <c r="B50" s="20"/>
      <c r="C50" s="20"/>
      <c r="D50" s="20"/>
      <c r="E50" s="17"/>
      <c r="F50" s="17"/>
      <c r="G50" s="37"/>
      <c r="H50" s="37"/>
      <c r="I50" s="19"/>
      <c r="J50" s="20"/>
      <c r="K50" s="20"/>
      <c r="L50" s="20"/>
    </row>
    <row r="51" spans="1:12">
      <c r="A51" s="12">
        <v>43</v>
      </c>
      <c r="B51" s="20"/>
      <c r="C51" s="20"/>
      <c r="D51" s="20"/>
      <c r="E51" s="17"/>
      <c r="F51" s="17"/>
      <c r="G51" s="37"/>
      <c r="H51" s="37"/>
      <c r="I51" s="19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>
      <c r="B124" s="24" t="s">
        <v>1</v>
      </c>
      <c r="C124" s="25" cm="1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 cm="1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 cm="1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 cm="1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 cm="1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 cm="1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 cm="1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 cm="1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 cm="1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 cm="1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 cm="1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 cm="1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 cm="1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 cm="1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 cm="1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 cm="1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 cm="1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 cm="1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 cm="1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>
      <c r="B135" s="24" t="s">
        <v>2</v>
      </c>
      <c r="C135" s="25" cm="1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 cm="1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 cm="1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 cm="1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 cm="1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 cm="1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 cm="1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 cm="1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 cm="1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 cm="1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 cm="1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 cm="1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 cm="1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 cm="1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 cm="1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 cm="1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 cm="1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 cm="1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>
      <c r="B146" s="30" t="s">
        <v>3</v>
      </c>
      <c r="C146" s="25" cm="1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 cm="1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 cm="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 cm="1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 cm="1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 cm="1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 cm="1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 cm="1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 cm="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 cm="1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 cm="1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 cm="1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 cm="1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 cm="1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 cm="1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 cm="1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 cm="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 cm="1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>
      <c r="B157" s="28" t="s">
        <v>42</v>
      </c>
      <c r="C157" s="32" cm="1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 cm="1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 cm="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 cm="1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 cm="1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 cm="1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 cm="1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 cm="1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 cm="1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 cm="1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 cm="1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 cm="1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 cm="1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 cm="1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 cm="1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 cm="1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 cm="1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 cm="1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>
      <c r="B168" s="28" t="s">
        <v>12</v>
      </c>
      <c r="C168" s="25" cm="1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 cm="1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 cm="1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 cm="1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 cm="1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 cm="1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 cm="1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 cm="1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 cm="1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 cm="1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 cm="1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 cm="1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 cm="1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 cm="1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 cm="1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 cm="1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 cm="1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 cm="1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>
      <c r="B179" s="26" t="s">
        <v>43</v>
      </c>
      <c r="C179" s="25" cm="1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 cm="1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 cm="1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 cm="1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 cm="1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 cm="1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 cm="1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 cm="1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 cm="1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 cm="1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 cm="1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 cm="1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 cm="1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 cm="1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 cm="1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 cm="1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 cm="1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 cm="1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>
      <c r="B190" s="28" t="s">
        <v>20</v>
      </c>
      <c r="C190" s="25" cm="1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 cm="1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 cm="1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 cm="1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 cm="1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 cm="1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 cm="1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 cm="1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 cm="1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 cm="1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 cm="1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 cm="1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 cm="1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 cm="1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 cm="1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 cm="1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 cm="1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 cm="1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>
      <c r="B201" s="26" t="s">
        <v>44</v>
      </c>
      <c r="C201" s="25" cm="1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 cm="1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 cm="1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 cm="1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 cm="1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 cm="1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 cm="1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 cm="1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 cm="1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 cm="1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 cm="1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 cm="1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 cm="1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 cm="1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 cm="1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 cm="1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 cm="1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 cm="1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>
      <c r="B212" s="26" t="s">
        <v>13</v>
      </c>
      <c r="C212" s="25" cm="1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 cm="1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 cm="1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 cm="1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 cm="1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 cm="1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 cm="1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 cm="1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 cm="1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 cm="1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 cm="1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 cm="1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 cm="1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 cm="1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 cm="1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 cm="1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 cm="1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 cm="1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>
      <c r="B223" s="26" t="s">
        <v>46</v>
      </c>
      <c r="C223" s="25" cm="1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 cm="1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 cm="1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 cm="1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 cm="1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 cm="1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 cm="1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 cm="1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 cm="1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 cm="1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 cm="1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 cm="1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 cm="1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 cm="1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 cm="1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 cm="1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 cm="1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 cm="1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>
      <c r="B234" s="28" t="s">
        <v>47</v>
      </c>
      <c r="C234" s="25" cm="1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 cm="1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 cm="1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 cm="1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 cm="1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 cm="1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 cm="1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 cm="1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 cm="1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50</v>
      </c>
      <c r="C246" s="20" t="s">
        <v>51</v>
      </c>
      <c r="D246" s="20" t="s">
        <v>52</v>
      </c>
      <c r="E246" s="20" t="s">
        <v>53</v>
      </c>
      <c r="F246" s="20" t="s">
        <v>54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sortState ref="B9:I59">
    <sortCondition ref="B9"/>
  </sortState>
  <mergeCells count="4">
    <mergeCell ref="A1:L1"/>
    <mergeCell ref="A2:L2"/>
    <mergeCell ref="F3:H3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100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45"/>
  <sheetViews>
    <sheetView workbookViewId="0">
      <selection activeCell="E55" sqref="E55"/>
    </sheetView>
  </sheetViews>
  <sheetFormatPr defaultRowHeight="13.8"/>
  <cols>
    <col min="1" max="1" width="4.09765625" customWidth="1"/>
    <col min="2" max="2" width="21.5" customWidth="1"/>
    <col min="3" max="3" width="10.5" customWidth="1"/>
    <col min="4" max="4" width="10.19921875" customWidth="1"/>
    <col min="5" max="5" width="18.8984375" customWidth="1"/>
    <col min="6" max="6" width="11.8984375" customWidth="1"/>
    <col min="7" max="7" width="10.5" customWidth="1"/>
    <col min="8" max="8" width="10.19921875" customWidth="1"/>
    <col min="9" max="9" width="8" customWidth="1"/>
  </cols>
  <sheetData>
    <row r="1" spans="1:12" ht="22.2">
      <c r="A1" s="58">
        <v>45929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2">
      <c r="A2" s="59" t="s">
        <v>0</v>
      </c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6"/>
      <c r="L3" s="6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9"/>
      <c r="L4" s="9"/>
    </row>
    <row r="5" spans="1:12" ht="14.25" customHeight="1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2"/>
      <c r="L5" s="2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9"/>
      <c r="L6" s="9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"/>
      <c r="L7" s="2"/>
    </row>
    <row r="8" spans="1:12" ht="41.4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2">
      <c r="A9" s="12">
        <v>1</v>
      </c>
      <c r="B9" s="12" t="s">
        <v>159</v>
      </c>
      <c r="C9" s="20"/>
      <c r="D9" s="17"/>
      <c r="E9" s="17" t="s">
        <v>58</v>
      </c>
      <c r="F9" s="17" t="s">
        <v>111</v>
      </c>
      <c r="G9" s="37">
        <v>45924</v>
      </c>
      <c r="H9" s="37">
        <v>45929</v>
      </c>
      <c r="I9" s="19"/>
      <c r="J9" s="22"/>
      <c r="K9" s="20"/>
      <c r="L9" s="20"/>
    </row>
    <row r="10" spans="1:12">
      <c r="A10" s="12">
        <v>2</v>
      </c>
      <c r="B10" s="12" t="s">
        <v>160</v>
      </c>
      <c r="C10" s="20"/>
      <c r="D10" s="20"/>
      <c r="E10" s="17">
        <v>1</v>
      </c>
      <c r="F10" s="17" t="s">
        <v>138</v>
      </c>
      <c r="G10" s="37">
        <v>45923</v>
      </c>
      <c r="H10" s="37">
        <v>45929</v>
      </c>
      <c r="I10" s="19"/>
      <c r="J10" s="22"/>
      <c r="K10" s="23"/>
      <c r="L10" s="23"/>
    </row>
    <row r="11" spans="1:12">
      <c r="A11" s="12">
        <v>3</v>
      </c>
      <c r="B11" s="12" t="s">
        <v>161</v>
      </c>
      <c r="C11" s="14"/>
      <c r="D11" s="20"/>
      <c r="E11" s="17" t="s">
        <v>58</v>
      </c>
      <c r="F11" s="17" t="s">
        <v>111</v>
      </c>
      <c r="G11" s="37">
        <v>45923</v>
      </c>
      <c r="H11" s="37">
        <v>45929</v>
      </c>
      <c r="I11" s="19"/>
      <c r="J11" s="22"/>
      <c r="K11" s="20"/>
      <c r="L11" s="20"/>
    </row>
    <row r="12" spans="1:12">
      <c r="A12" s="12">
        <v>4</v>
      </c>
      <c r="B12" s="12" t="s">
        <v>162</v>
      </c>
      <c r="C12" s="14"/>
      <c r="D12" s="20"/>
      <c r="E12" s="17" t="s">
        <v>58</v>
      </c>
      <c r="F12" s="17" t="s">
        <v>111</v>
      </c>
      <c r="G12" s="37">
        <v>45924</v>
      </c>
      <c r="H12" s="37">
        <v>45929</v>
      </c>
      <c r="I12" s="19"/>
      <c r="J12" s="22"/>
      <c r="K12" s="20"/>
      <c r="L12" s="20"/>
    </row>
    <row r="13" spans="1:12">
      <c r="A13" s="12">
        <v>5</v>
      </c>
      <c r="B13" s="12" t="s">
        <v>163</v>
      </c>
      <c r="C13" s="20"/>
      <c r="D13" s="17"/>
      <c r="E13" s="17">
        <v>1</v>
      </c>
      <c r="F13" s="17" t="s">
        <v>93</v>
      </c>
      <c r="G13" s="37">
        <v>45923</v>
      </c>
      <c r="H13" s="37">
        <v>45929</v>
      </c>
      <c r="I13" s="19"/>
      <c r="J13" s="22"/>
      <c r="K13" s="23"/>
      <c r="L13" s="23"/>
    </row>
    <row r="14" spans="1:12">
      <c r="A14" s="12">
        <v>6</v>
      </c>
      <c r="B14" s="12" t="s">
        <v>164</v>
      </c>
      <c r="C14" s="20"/>
      <c r="D14" s="17"/>
      <c r="E14" s="17" t="s">
        <v>58</v>
      </c>
      <c r="F14" s="17" t="s">
        <v>111</v>
      </c>
      <c r="G14" s="37">
        <v>45924</v>
      </c>
      <c r="H14" s="37">
        <v>45929</v>
      </c>
      <c r="I14" s="19"/>
      <c r="J14" s="20"/>
      <c r="K14" s="23"/>
      <c r="L14" s="23"/>
    </row>
    <row r="15" spans="1:12">
      <c r="A15" s="12">
        <v>7</v>
      </c>
      <c r="B15" s="12" t="s">
        <v>165</v>
      </c>
      <c r="C15" s="20"/>
      <c r="D15" s="20"/>
      <c r="E15" s="17">
        <v>1</v>
      </c>
      <c r="F15" s="17" t="s">
        <v>56</v>
      </c>
      <c r="G15" s="37">
        <v>45923</v>
      </c>
      <c r="H15" s="37">
        <v>45929</v>
      </c>
      <c r="I15" s="19"/>
      <c r="J15" s="20"/>
      <c r="K15" s="20"/>
      <c r="L15" s="20"/>
    </row>
    <row r="16" spans="1:12">
      <c r="A16" s="12">
        <v>8</v>
      </c>
      <c r="B16" s="12" t="s">
        <v>166</v>
      </c>
      <c r="C16" s="20"/>
      <c r="D16" s="20"/>
      <c r="E16" s="17" t="s">
        <v>155</v>
      </c>
      <c r="F16" s="17" t="s">
        <v>138</v>
      </c>
      <c r="G16" s="37">
        <v>45924</v>
      </c>
      <c r="H16" s="37">
        <v>45929</v>
      </c>
      <c r="I16" s="19"/>
      <c r="J16" s="22"/>
      <c r="K16" s="23"/>
      <c r="L16" s="23"/>
    </row>
    <row r="17" spans="1:12">
      <c r="A17" s="12">
        <v>9</v>
      </c>
      <c r="B17" s="12" t="s">
        <v>167</v>
      </c>
      <c r="C17" s="20"/>
      <c r="D17" s="17"/>
      <c r="E17" s="17">
        <v>1</v>
      </c>
      <c r="F17" s="17" t="s">
        <v>49</v>
      </c>
      <c r="G17" s="37">
        <v>45923</v>
      </c>
      <c r="H17" s="37">
        <v>45929</v>
      </c>
      <c r="I17" s="19"/>
      <c r="J17" s="22"/>
      <c r="K17" s="23"/>
      <c r="L17" s="23"/>
    </row>
    <row r="18" spans="1:12">
      <c r="A18" s="12">
        <v>10</v>
      </c>
      <c r="B18" s="12" t="s">
        <v>168</v>
      </c>
      <c r="C18" s="20"/>
      <c r="D18" s="20"/>
      <c r="E18" s="17" t="s">
        <v>61</v>
      </c>
      <c r="F18" s="17" t="s">
        <v>93</v>
      </c>
      <c r="G18" s="37">
        <v>45924</v>
      </c>
      <c r="H18" s="37">
        <v>45929</v>
      </c>
      <c r="I18" s="19"/>
      <c r="J18" s="22"/>
      <c r="K18" s="20"/>
      <c r="L18" s="20"/>
    </row>
    <row r="19" spans="1:12">
      <c r="A19" s="12">
        <v>11</v>
      </c>
      <c r="B19" s="12" t="s">
        <v>169</v>
      </c>
      <c r="C19" s="14"/>
      <c r="D19" s="20"/>
      <c r="E19" s="17">
        <v>1</v>
      </c>
      <c r="F19" s="17" t="s">
        <v>49</v>
      </c>
      <c r="G19" s="37">
        <v>45923</v>
      </c>
      <c r="H19" s="37">
        <v>45929</v>
      </c>
      <c r="I19" s="19"/>
      <c r="J19" s="22"/>
      <c r="K19" s="20"/>
      <c r="L19" s="20"/>
    </row>
    <row r="20" spans="1:12">
      <c r="A20" s="12">
        <v>12</v>
      </c>
      <c r="B20" s="12" t="s">
        <v>170</v>
      </c>
      <c r="C20" s="20"/>
      <c r="D20" s="20"/>
      <c r="E20" s="17" t="s">
        <v>58</v>
      </c>
      <c r="F20" s="17" t="s">
        <v>111</v>
      </c>
      <c r="G20" s="37">
        <v>45924</v>
      </c>
      <c r="H20" s="37">
        <v>45929</v>
      </c>
      <c r="I20" s="19"/>
      <c r="J20" s="22"/>
      <c r="K20" s="23"/>
      <c r="L20" s="23"/>
    </row>
    <row r="21" spans="1:12">
      <c r="A21" s="12">
        <v>13</v>
      </c>
      <c r="B21" s="12" t="s">
        <v>171</v>
      </c>
      <c r="C21" s="20"/>
      <c r="D21" s="17"/>
      <c r="E21" s="17">
        <v>1</v>
      </c>
      <c r="F21" s="17" t="s">
        <v>93</v>
      </c>
      <c r="G21" s="37">
        <v>45923</v>
      </c>
      <c r="H21" s="37">
        <v>45929</v>
      </c>
      <c r="I21" s="19"/>
      <c r="J21" s="22"/>
      <c r="K21" s="23"/>
      <c r="L21" s="23"/>
    </row>
    <row r="22" spans="1:12">
      <c r="A22" s="12">
        <v>14</v>
      </c>
      <c r="B22" s="12" t="s">
        <v>172</v>
      </c>
      <c r="C22" s="20"/>
      <c r="D22" s="20"/>
      <c r="E22" s="17">
        <v>1</v>
      </c>
      <c r="F22" s="17" t="s">
        <v>93</v>
      </c>
      <c r="G22" s="37">
        <v>45923</v>
      </c>
      <c r="H22" s="37">
        <v>45929</v>
      </c>
      <c r="I22" s="19"/>
      <c r="J22" s="22"/>
      <c r="K22" s="20"/>
      <c r="L22" s="20"/>
    </row>
    <row r="23" spans="1:12">
      <c r="A23" s="12">
        <v>15</v>
      </c>
      <c r="B23" s="12" t="s">
        <v>173</v>
      </c>
      <c r="C23" s="20"/>
      <c r="D23" s="17"/>
      <c r="E23" s="17">
        <v>3</v>
      </c>
      <c r="F23" s="17" t="s">
        <v>93</v>
      </c>
      <c r="G23" s="37">
        <v>45923</v>
      </c>
      <c r="H23" s="37">
        <v>45929</v>
      </c>
      <c r="I23" s="19"/>
      <c r="J23" s="22"/>
      <c r="K23" s="20"/>
      <c r="L23" s="20"/>
    </row>
    <row r="24" spans="1:12">
      <c r="A24" s="12">
        <v>16</v>
      </c>
      <c r="B24" s="12" t="s">
        <v>174</v>
      </c>
      <c r="C24" s="20"/>
      <c r="D24" s="20"/>
      <c r="E24" s="17" t="s">
        <v>58</v>
      </c>
      <c r="F24" s="17" t="s">
        <v>93</v>
      </c>
      <c r="G24" s="37">
        <v>45923</v>
      </c>
      <c r="H24" s="37">
        <v>45929</v>
      </c>
      <c r="I24" s="19"/>
      <c r="J24" s="20"/>
      <c r="K24" s="23"/>
      <c r="L24" s="23"/>
    </row>
    <row r="25" spans="1:12">
      <c r="A25" s="12">
        <v>17</v>
      </c>
      <c r="B25" s="12" t="s">
        <v>175</v>
      </c>
      <c r="C25" s="20"/>
      <c r="D25" s="20"/>
      <c r="E25" s="17" t="s">
        <v>58</v>
      </c>
      <c r="F25" s="17" t="s">
        <v>111</v>
      </c>
      <c r="G25" s="37">
        <v>45924</v>
      </c>
      <c r="H25" s="37">
        <v>45929</v>
      </c>
      <c r="I25" s="19"/>
      <c r="J25" s="20"/>
      <c r="K25" s="23"/>
      <c r="L25" s="23"/>
    </row>
    <row r="26" spans="1:12">
      <c r="A26" s="12">
        <v>18</v>
      </c>
      <c r="B26" s="12" t="s">
        <v>176</v>
      </c>
      <c r="C26" s="20"/>
      <c r="D26" s="20"/>
      <c r="E26" s="17" t="s">
        <v>58</v>
      </c>
      <c r="F26" s="17" t="s">
        <v>111</v>
      </c>
      <c r="G26" s="37">
        <v>45924</v>
      </c>
      <c r="H26" s="37">
        <v>45929</v>
      </c>
      <c r="I26" s="19"/>
      <c r="J26" s="22"/>
      <c r="K26" s="23"/>
      <c r="L26" s="23"/>
    </row>
    <row r="27" spans="1:12">
      <c r="A27" s="12">
        <v>19</v>
      </c>
      <c r="B27" s="12" t="s">
        <v>177</v>
      </c>
      <c r="C27" s="20"/>
      <c r="D27" s="20"/>
      <c r="E27" s="17">
        <v>1</v>
      </c>
      <c r="F27" s="17" t="s">
        <v>93</v>
      </c>
      <c r="G27" s="37">
        <v>45923</v>
      </c>
      <c r="H27" s="37">
        <v>45929</v>
      </c>
      <c r="I27" s="19"/>
      <c r="J27" s="22"/>
      <c r="K27" s="20"/>
      <c r="L27" s="20"/>
    </row>
    <row r="28" spans="1:12">
      <c r="A28" s="12">
        <v>20</v>
      </c>
      <c r="B28" s="12" t="s">
        <v>178</v>
      </c>
      <c r="C28" s="14"/>
      <c r="D28" s="20"/>
      <c r="E28" s="17">
        <v>1</v>
      </c>
      <c r="F28" s="17" t="s">
        <v>49</v>
      </c>
      <c r="G28" s="37">
        <v>45924</v>
      </c>
      <c r="H28" s="37">
        <v>45929</v>
      </c>
      <c r="I28" s="19"/>
      <c r="J28" s="22"/>
      <c r="K28" s="23"/>
      <c r="L28" s="23"/>
    </row>
    <row r="29" spans="1:12">
      <c r="A29" s="12">
        <v>21</v>
      </c>
      <c r="B29" s="12" t="s">
        <v>179</v>
      </c>
      <c r="C29" s="20"/>
      <c r="D29" s="20"/>
      <c r="E29" s="17" t="s">
        <v>58</v>
      </c>
      <c r="F29" s="17" t="s">
        <v>111</v>
      </c>
      <c r="G29" s="37">
        <v>45924</v>
      </c>
      <c r="H29" s="37">
        <v>45929</v>
      </c>
      <c r="I29" s="19"/>
      <c r="J29" s="22"/>
      <c r="K29" s="23"/>
      <c r="L29" s="23"/>
    </row>
    <row r="30" spans="1:12">
      <c r="A30" s="12">
        <v>22</v>
      </c>
      <c r="B30" s="12" t="s">
        <v>180</v>
      </c>
      <c r="C30" s="20"/>
      <c r="D30" s="20"/>
      <c r="E30" s="17" t="s">
        <v>58</v>
      </c>
      <c r="F30" s="17" t="s">
        <v>111</v>
      </c>
      <c r="G30" s="37">
        <v>45924</v>
      </c>
      <c r="H30" s="37">
        <v>45929</v>
      </c>
      <c r="I30" s="19"/>
      <c r="J30" s="22"/>
      <c r="K30" s="20"/>
      <c r="L30" s="20"/>
    </row>
    <row r="31" spans="1:12">
      <c r="A31" s="12">
        <v>23</v>
      </c>
      <c r="B31" s="12" t="s">
        <v>181</v>
      </c>
      <c r="C31" s="14"/>
      <c r="D31" s="17"/>
      <c r="E31" s="17" t="s">
        <v>58</v>
      </c>
      <c r="F31" s="17" t="s">
        <v>111</v>
      </c>
      <c r="G31" s="37">
        <v>45924</v>
      </c>
      <c r="H31" s="37">
        <v>45929</v>
      </c>
      <c r="I31" s="19"/>
      <c r="J31" s="22"/>
      <c r="K31" s="23"/>
      <c r="L31" s="23"/>
    </row>
    <row r="32" spans="1:12">
      <c r="A32" s="12">
        <v>24</v>
      </c>
      <c r="B32" s="12" t="s">
        <v>182</v>
      </c>
      <c r="C32" s="20"/>
      <c r="D32" s="20"/>
      <c r="E32" s="16">
        <v>1</v>
      </c>
      <c r="F32" s="17" t="s">
        <v>93</v>
      </c>
      <c r="G32" s="37">
        <v>45923</v>
      </c>
      <c r="H32" s="37">
        <v>45929</v>
      </c>
      <c r="I32" s="19"/>
      <c r="J32" s="20"/>
      <c r="K32" s="20"/>
      <c r="L32" s="20"/>
    </row>
    <row r="33" spans="1:12">
      <c r="A33" s="12">
        <v>25</v>
      </c>
      <c r="B33" s="12" t="s">
        <v>183</v>
      </c>
      <c r="C33" s="14"/>
      <c r="D33" s="39"/>
      <c r="E33" s="17">
        <v>1</v>
      </c>
      <c r="F33" s="17" t="s">
        <v>56</v>
      </c>
      <c r="G33" s="37">
        <v>45923</v>
      </c>
      <c r="H33" s="37">
        <v>45929</v>
      </c>
      <c r="I33" s="19"/>
      <c r="J33" s="22"/>
      <c r="K33" s="20"/>
      <c r="L33" s="20"/>
    </row>
    <row r="34" spans="1:12">
      <c r="A34" s="12">
        <v>26</v>
      </c>
      <c r="B34" s="12" t="s">
        <v>184</v>
      </c>
      <c r="C34" s="14"/>
      <c r="D34" s="39"/>
      <c r="E34" s="17">
        <v>1</v>
      </c>
      <c r="F34" s="17" t="s">
        <v>56</v>
      </c>
      <c r="G34" s="37">
        <v>45923</v>
      </c>
      <c r="H34" s="37">
        <v>45929</v>
      </c>
      <c r="I34" s="19"/>
      <c r="J34" s="22"/>
      <c r="K34" s="20"/>
      <c r="L34" s="20"/>
    </row>
    <row r="35" spans="1:12">
      <c r="A35" s="12">
        <v>27</v>
      </c>
      <c r="B35" s="12" t="s">
        <v>185</v>
      </c>
      <c r="C35" s="20"/>
      <c r="D35" s="20"/>
      <c r="E35" s="17">
        <v>1</v>
      </c>
      <c r="F35" s="17" t="s">
        <v>76</v>
      </c>
      <c r="G35" s="37">
        <v>45923</v>
      </c>
      <c r="H35" s="37">
        <v>45929</v>
      </c>
      <c r="I35" s="19"/>
      <c r="J35" s="22"/>
      <c r="K35" s="20"/>
      <c r="L35" s="20"/>
    </row>
    <row r="36" spans="1:12">
      <c r="A36" s="12">
        <v>28</v>
      </c>
      <c r="B36" s="12" t="s">
        <v>186</v>
      </c>
      <c r="C36" s="20"/>
      <c r="D36" s="17"/>
      <c r="E36" s="16">
        <v>1</v>
      </c>
      <c r="F36" s="17" t="s">
        <v>93</v>
      </c>
      <c r="G36" s="37">
        <v>45923</v>
      </c>
      <c r="H36" s="37">
        <v>45929</v>
      </c>
      <c r="I36" s="19"/>
      <c r="J36" s="22"/>
      <c r="K36" s="20"/>
      <c r="L36" s="20"/>
    </row>
    <row r="37" spans="1:12">
      <c r="A37" s="12">
        <v>29</v>
      </c>
      <c r="B37" s="12" t="s">
        <v>187</v>
      </c>
      <c r="C37" s="20"/>
      <c r="D37" s="20"/>
      <c r="E37" s="17" t="s">
        <v>58</v>
      </c>
      <c r="F37" s="17" t="s">
        <v>111</v>
      </c>
      <c r="G37" s="37">
        <v>45924</v>
      </c>
      <c r="H37" s="37">
        <v>45929</v>
      </c>
      <c r="I37" s="19"/>
      <c r="J37" s="22"/>
      <c r="K37" s="20"/>
      <c r="L37" s="20"/>
    </row>
    <row r="38" spans="1:12">
      <c r="A38" s="12">
        <v>30</v>
      </c>
      <c r="B38" s="12" t="s">
        <v>188</v>
      </c>
      <c r="C38" s="21"/>
      <c r="D38" s="17"/>
      <c r="E38" s="16">
        <v>1</v>
      </c>
      <c r="F38" s="17" t="s">
        <v>93</v>
      </c>
      <c r="G38" s="37">
        <v>45923</v>
      </c>
      <c r="H38" s="37">
        <v>45929</v>
      </c>
      <c r="I38" s="19"/>
      <c r="J38" s="22"/>
      <c r="K38" s="20"/>
      <c r="L38" s="20"/>
    </row>
    <row r="39" spans="1:12">
      <c r="A39" s="12">
        <v>31</v>
      </c>
      <c r="B39" s="12" t="s">
        <v>189</v>
      </c>
      <c r="C39" s="20"/>
      <c r="D39" s="20"/>
      <c r="E39" s="17" t="s">
        <v>58</v>
      </c>
      <c r="F39" s="17" t="s">
        <v>111</v>
      </c>
      <c r="G39" s="37">
        <v>45924</v>
      </c>
      <c r="H39" s="37">
        <v>45929</v>
      </c>
      <c r="I39" s="19"/>
      <c r="J39" s="22"/>
      <c r="K39" s="20"/>
      <c r="L39" s="20"/>
    </row>
    <row r="40" spans="1:12">
      <c r="A40" s="12">
        <v>32</v>
      </c>
      <c r="B40" s="12" t="s">
        <v>190</v>
      </c>
      <c r="C40" s="14"/>
      <c r="D40" s="20"/>
      <c r="E40" s="17" t="s">
        <v>58</v>
      </c>
      <c r="F40" s="17" t="s">
        <v>111</v>
      </c>
      <c r="G40" s="37">
        <v>45924</v>
      </c>
      <c r="H40" s="37">
        <v>45929</v>
      </c>
      <c r="I40" s="19"/>
      <c r="J40" s="22"/>
      <c r="K40" s="20"/>
      <c r="L40" s="20"/>
    </row>
    <row r="41" spans="1:12">
      <c r="A41" s="12">
        <v>33</v>
      </c>
      <c r="B41" s="12" t="s">
        <v>191</v>
      </c>
      <c r="C41" s="21"/>
      <c r="D41" s="39"/>
      <c r="E41" s="17">
        <v>1</v>
      </c>
      <c r="F41" s="17" t="s">
        <v>49</v>
      </c>
      <c r="G41" s="37">
        <v>45924</v>
      </c>
      <c r="H41" s="37">
        <v>45929</v>
      </c>
      <c r="I41" s="19"/>
      <c r="J41" s="22"/>
      <c r="K41" s="20"/>
      <c r="L41" s="20"/>
    </row>
    <row r="42" spans="1:12">
      <c r="A42" s="12">
        <v>34</v>
      </c>
      <c r="B42" s="12" t="s">
        <v>192</v>
      </c>
      <c r="C42" s="14"/>
      <c r="D42" s="20"/>
      <c r="E42" s="16" t="s">
        <v>91</v>
      </c>
      <c r="F42" s="17" t="s">
        <v>80</v>
      </c>
      <c r="G42" s="37">
        <v>45924</v>
      </c>
      <c r="H42" s="37">
        <v>45929</v>
      </c>
      <c r="I42" s="19"/>
      <c r="J42" s="22"/>
      <c r="K42" s="20"/>
      <c r="L42" s="20"/>
    </row>
    <row r="43" spans="1:12">
      <c r="A43" s="12">
        <v>35</v>
      </c>
      <c r="B43" s="12" t="s">
        <v>193</v>
      </c>
      <c r="C43" s="20"/>
      <c r="D43" s="20"/>
      <c r="E43" s="17" t="s">
        <v>58</v>
      </c>
      <c r="F43" s="17" t="s">
        <v>111</v>
      </c>
      <c r="G43" s="37">
        <v>45924</v>
      </c>
      <c r="H43" s="37">
        <v>45929</v>
      </c>
      <c r="I43" s="19"/>
      <c r="J43" s="22"/>
      <c r="K43" s="20"/>
      <c r="L43" s="20"/>
    </row>
    <row r="44" spans="1:12">
      <c r="A44" s="12">
        <v>36</v>
      </c>
      <c r="B44" s="12" t="s">
        <v>194</v>
      </c>
      <c r="C44" s="20"/>
      <c r="D44" s="20"/>
      <c r="E44" s="17" t="s">
        <v>58</v>
      </c>
      <c r="F44" s="17" t="s">
        <v>111</v>
      </c>
      <c r="G44" s="37">
        <v>45924</v>
      </c>
      <c r="H44" s="37">
        <v>45929</v>
      </c>
      <c r="I44" s="19"/>
      <c r="J44" s="22"/>
      <c r="K44" s="20"/>
      <c r="L44" s="20"/>
    </row>
    <row r="45" spans="1:12">
      <c r="A45" s="12">
        <v>37</v>
      </c>
      <c r="B45" s="12" t="s">
        <v>195</v>
      </c>
      <c r="C45" s="20"/>
      <c r="D45" s="20"/>
      <c r="E45" s="17">
        <v>1</v>
      </c>
      <c r="F45" s="17" t="s">
        <v>49</v>
      </c>
      <c r="G45" s="37">
        <v>45923</v>
      </c>
      <c r="H45" s="37">
        <v>45929</v>
      </c>
      <c r="I45" s="19"/>
      <c r="J45" s="22"/>
      <c r="K45" s="20"/>
      <c r="L45" s="20"/>
    </row>
  </sheetData>
  <sortState ref="B9:I114">
    <sortCondition ref="B9"/>
  </sortState>
  <mergeCells count="4">
    <mergeCell ref="A1:L1"/>
    <mergeCell ref="A2:L2"/>
    <mergeCell ref="F3:H3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45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56"/>
  <sheetViews>
    <sheetView topLeftCell="B41" workbookViewId="0">
      <selection activeCell="M62" sqref="M62"/>
    </sheetView>
  </sheetViews>
  <sheetFormatPr defaultRowHeight="13.8"/>
  <cols>
    <col min="1" max="1" width="4.09765625" customWidth="1"/>
    <col min="2" max="2" width="21.5" customWidth="1"/>
    <col min="3" max="3" width="10.5" customWidth="1"/>
    <col min="4" max="4" width="10.19921875" customWidth="1"/>
    <col min="5" max="5" width="8.5" customWidth="1"/>
    <col min="6" max="6" width="11.8984375" customWidth="1"/>
    <col min="7" max="7" width="10.5" customWidth="1"/>
    <col min="8" max="8" width="10.19921875" customWidth="1"/>
    <col min="9" max="9" width="8" customWidth="1"/>
  </cols>
  <sheetData>
    <row r="1" spans="1:12" ht="22.2">
      <c r="A1" s="58">
        <v>45930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2">
      <c r="A2" s="59" t="s">
        <v>0</v>
      </c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6"/>
      <c r="L3" s="6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9"/>
      <c r="L4" s="9"/>
    </row>
    <row r="5" spans="1:12" ht="14.25" customHeight="1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2"/>
      <c r="L5" s="2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9"/>
      <c r="L6" s="9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"/>
      <c r="L7" s="2"/>
    </row>
    <row r="8" spans="1:12" ht="55.2">
      <c r="A8" s="35" t="s">
        <v>23</v>
      </c>
      <c r="B8" s="35" t="s">
        <v>24</v>
      </c>
      <c r="C8" s="35"/>
      <c r="D8" s="11"/>
      <c r="E8" s="36" t="s">
        <v>27</v>
      </c>
      <c r="F8" s="35" t="s">
        <v>28</v>
      </c>
      <c r="G8" s="36" t="s">
        <v>29</v>
      </c>
      <c r="H8" s="11" t="s">
        <v>30</v>
      </c>
      <c r="I8" s="36"/>
      <c r="J8" s="36" t="s">
        <v>31</v>
      </c>
      <c r="K8" s="38" t="s">
        <v>32</v>
      </c>
      <c r="L8" s="36"/>
    </row>
    <row r="9" spans="1:12">
      <c r="A9" s="12">
        <v>1</v>
      </c>
      <c r="B9" s="20" t="s">
        <v>159</v>
      </c>
      <c r="C9" s="20"/>
      <c r="D9" s="39"/>
      <c r="E9" s="17">
        <v>1</v>
      </c>
      <c r="F9" s="17" t="s">
        <v>138</v>
      </c>
      <c r="G9" s="37">
        <v>45923</v>
      </c>
      <c r="H9" s="37">
        <v>45930</v>
      </c>
      <c r="I9" s="19"/>
      <c r="J9" s="20"/>
      <c r="K9" s="20"/>
      <c r="L9" s="20"/>
    </row>
    <row r="10" spans="1:12">
      <c r="A10" s="12">
        <v>2</v>
      </c>
      <c r="B10" s="20" t="s">
        <v>160</v>
      </c>
      <c r="C10" s="20"/>
      <c r="D10" s="20"/>
      <c r="E10" s="17">
        <v>2</v>
      </c>
      <c r="F10" s="17" t="s">
        <v>138</v>
      </c>
      <c r="G10" s="37">
        <v>45923</v>
      </c>
      <c r="H10" s="37">
        <v>45930</v>
      </c>
      <c r="I10" s="19"/>
      <c r="J10" s="20"/>
      <c r="K10" s="23"/>
      <c r="L10" s="23"/>
    </row>
    <row r="11" spans="1:12">
      <c r="A11" s="12">
        <v>3</v>
      </c>
      <c r="B11" s="20" t="s">
        <v>161</v>
      </c>
      <c r="C11" s="20"/>
      <c r="D11" s="20"/>
      <c r="E11" s="17">
        <v>3</v>
      </c>
      <c r="F11" s="17" t="s">
        <v>93</v>
      </c>
      <c r="G11" s="37">
        <v>45923</v>
      </c>
      <c r="H11" s="37">
        <v>45930</v>
      </c>
      <c r="I11" s="19"/>
      <c r="J11" s="20"/>
      <c r="K11" s="20"/>
      <c r="L11" s="20"/>
    </row>
    <row r="12" spans="1:12">
      <c r="A12" s="12">
        <v>4</v>
      </c>
      <c r="B12" s="20" t="s">
        <v>162</v>
      </c>
      <c r="C12" s="21"/>
      <c r="D12" s="20"/>
      <c r="E12" s="17" t="s">
        <v>91</v>
      </c>
      <c r="F12" s="17" t="s">
        <v>80</v>
      </c>
      <c r="G12" s="37">
        <v>45923</v>
      </c>
      <c r="H12" s="37">
        <v>45930</v>
      </c>
      <c r="I12" s="19"/>
      <c r="J12" s="22"/>
      <c r="K12" s="20"/>
      <c r="L12" s="20"/>
    </row>
    <row r="13" spans="1:12">
      <c r="A13" s="12">
        <v>5</v>
      </c>
      <c r="B13" s="20" t="s">
        <v>163</v>
      </c>
      <c r="C13" s="21"/>
      <c r="D13" s="20"/>
      <c r="E13" s="17" t="s">
        <v>79</v>
      </c>
      <c r="F13" s="17" t="s">
        <v>80</v>
      </c>
      <c r="G13" s="37">
        <v>45923</v>
      </c>
      <c r="H13" s="37">
        <v>45930</v>
      </c>
      <c r="I13" s="19"/>
      <c r="J13" s="22"/>
      <c r="K13" s="23"/>
      <c r="L13" s="23"/>
    </row>
    <row r="14" spans="1:12">
      <c r="A14" s="12">
        <v>6</v>
      </c>
      <c r="B14" s="20" t="s">
        <v>164</v>
      </c>
      <c r="C14" s="20"/>
      <c r="D14" s="20"/>
      <c r="E14" s="17">
        <v>1</v>
      </c>
      <c r="F14" s="17" t="s">
        <v>93</v>
      </c>
      <c r="G14" s="37">
        <v>45923</v>
      </c>
      <c r="H14" s="37">
        <v>45930</v>
      </c>
      <c r="I14" s="19"/>
      <c r="J14" s="20"/>
      <c r="K14" s="23"/>
      <c r="L14" s="23"/>
    </row>
    <row r="15" spans="1:12">
      <c r="A15" s="12">
        <v>7</v>
      </c>
      <c r="B15" s="20" t="s">
        <v>165</v>
      </c>
      <c r="C15" s="20"/>
      <c r="D15" s="20"/>
      <c r="E15" s="16">
        <v>2</v>
      </c>
      <c r="F15" s="17" t="s">
        <v>138</v>
      </c>
      <c r="G15" s="37">
        <v>45923</v>
      </c>
      <c r="H15" s="37">
        <v>45930</v>
      </c>
      <c r="I15" s="19"/>
      <c r="J15" s="20"/>
      <c r="K15" s="20"/>
      <c r="L15" s="20"/>
    </row>
    <row r="16" spans="1:12">
      <c r="A16" s="12">
        <v>8</v>
      </c>
      <c r="B16" s="20" t="s">
        <v>166</v>
      </c>
      <c r="C16" s="14"/>
      <c r="D16" s="39"/>
      <c r="E16" s="17">
        <v>1</v>
      </c>
      <c r="F16" s="17" t="s">
        <v>93</v>
      </c>
      <c r="G16" s="37">
        <v>45923</v>
      </c>
      <c r="H16" s="37">
        <v>45930</v>
      </c>
      <c r="I16" s="19"/>
      <c r="J16" s="22"/>
      <c r="K16" s="20"/>
      <c r="L16" s="23"/>
    </row>
    <row r="17" spans="1:12">
      <c r="A17" s="12">
        <v>9</v>
      </c>
      <c r="B17" s="20" t="s">
        <v>167</v>
      </c>
      <c r="C17" s="20"/>
      <c r="D17" s="20"/>
      <c r="E17" s="17">
        <v>1</v>
      </c>
      <c r="F17" s="17" t="s">
        <v>60</v>
      </c>
      <c r="G17" s="37">
        <v>45923</v>
      </c>
      <c r="H17" s="37">
        <v>45930</v>
      </c>
      <c r="I17" s="19"/>
      <c r="J17" s="20"/>
      <c r="K17" s="23"/>
      <c r="L17" s="23"/>
    </row>
    <row r="18" spans="1:12">
      <c r="A18" s="12">
        <v>10</v>
      </c>
      <c r="B18" s="20" t="s">
        <v>168</v>
      </c>
      <c r="C18" s="14"/>
      <c r="D18" s="20"/>
      <c r="E18" s="17" t="s">
        <v>58</v>
      </c>
      <c r="F18" s="17" t="s">
        <v>153</v>
      </c>
      <c r="G18" s="37">
        <v>45923</v>
      </c>
      <c r="H18" s="37">
        <v>45930</v>
      </c>
      <c r="I18" s="19"/>
      <c r="J18" s="20"/>
      <c r="K18" s="23"/>
      <c r="L18" s="20"/>
    </row>
    <row r="19" spans="1:12">
      <c r="A19" s="12">
        <v>11</v>
      </c>
      <c r="B19" s="20" t="s">
        <v>169</v>
      </c>
      <c r="C19" s="20"/>
      <c r="D19" s="20"/>
      <c r="E19" s="17">
        <v>1</v>
      </c>
      <c r="F19" s="17" t="s">
        <v>60</v>
      </c>
      <c r="G19" s="37">
        <v>45923</v>
      </c>
      <c r="H19" s="37">
        <v>45930</v>
      </c>
      <c r="I19" s="19"/>
      <c r="J19" s="22"/>
      <c r="K19" s="20"/>
      <c r="L19" s="20"/>
    </row>
    <row r="20" spans="1:12">
      <c r="A20" s="12">
        <v>12</v>
      </c>
      <c r="B20" s="20" t="s">
        <v>170</v>
      </c>
      <c r="C20" s="20"/>
      <c r="D20" s="20"/>
      <c r="E20" s="17">
        <v>1</v>
      </c>
      <c r="F20" s="17" t="s">
        <v>93</v>
      </c>
      <c r="G20" s="37">
        <v>45923</v>
      </c>
      <c r="H20" s="37">
        <v>45930</v>
      </c>
      <c r="I20" s="19"/>
      <c r="J20" s="22"/>
      <c r="K20" s="20"/>
      <c r="L20" s="23"/>
    </row>
    <row r="21" spans="1:12">
      <c r="A21" s="12">
        <v>13</v>
      </c>
      <c r="B21" s="20" t="s">
        <v>171</v>
      </c>
      <c r="C21" s="21"/>
      <c r="D21" s="20"/>
      <c r="E21" s="16">
        <v>1</v>
      </c>
      <c r="F21" s="17" t="s">
        <v>85</v>
      </c>
      <c r="G21" s="37">
        <v>45923</v>
      </c>
      <c r="H21" s="37">
        <v>45930</v>
      </c>
      <c r="I21" s="19"/>
      <c r="J21" s="20"/>
      <c r="K21" s="23"/>
      <c r="L21" s="23"/>
    </row>
    <row r="22" spans="1:12">
      <c r="A22" s="12">
        <v>14</v>
      </c>
      <c r="B22" s="20" t="s">
        <v>172</v>
      </c>
      <c r="C22" s="21"/>
      <c r="D22" s="15"/>
      <c r="E22" s="17">
        <v>1</v>
      </c>
      <c r="F22" s="17" t="s">
        <v>56</v>
      </c>
      <c r="G22" s="37">
        <v>45923</v>
      </c>
      <c r="H22" s="37">
        <v>45930</v>
      </c>
      <c r="I22" s="19"/>
      <c r="J22" s="20"/>
      <c r="K22" s="23"/>
      <c r="L22" s="20"/>
    </row>
    <row r="23" spans="1:12">
      <c r="A23" s="12">
        <v>15</v>
      </c>
      <c r="B23" s="20" t="s">
        <v>173</v>
      </c>
      <c r="C23" s="21"/>
      <c r="D23" s="17"/>
      <c r="E23" s="17">
        <v>2</v>
      </c>
      <c r="F23" s="17" t="s">
        <v>93</v>
      </c>
      <c r="G23" s="37">
        <v>45923</v>
      </c>
      <c r="H23" s="37">
        <v>45930</v>
      </c>
      <c r="I23" s="19"/>
      <c r="J23" s="22"/>
      <c r="K23" s="20"/>
      <c r="L23" s="20"/>
    </row>
    <row r="24" spans="1:12">
      <c r="A24" s="12">
        <v>16</v>
      </c>
      <c r="B24" s="20" t="s">
        <v>174</v>
      </c>
      <c r="C24" s="20"/>
      <c r="D24" s="20"/>
      <c r="E24" s="17">
        <v>1</v>
      </c>
      <c r="F24" s="17" t="s">
        <v>93</v>
      </c>
      <c r="G24" s="37">
        <v>45923</v>
      </c>
      <c r="H24" s="37">
        <v>45930</v>
      </c>
      <c r="I24" s="19"/>
      <c r="J24" s="20"/>
      <c r="K24" s="20"/>
      <c r="L24" s="23"/>
    </row>
    <row r="25" spans="1:12">
      <c r="A25" s="12">
        <v>17</v>
      </c>
      <c r="B25" s="20" t="s">
        <v>175</v>
      </c>
      <c r="C25" s="14"/>
      <c r="D25" s="17"/>
      <c r="E25" s="17">
        <v>1</v>
      </c>
      <c r="F25" s="17" t="s">
        <v>138</v>
      </c>
      <c r="G25" s="37">
        <v>45923</v>
      </c>
      <c r="H25" s="37">
        <v>45930</v>
      </c>
      <c r="I25" s="19"/>
      <c r="J25" s="20"/>
      <c r="K25" s="23"/>
      <c r="L25" s="23"/>
    </row>
    <row r="26" spans="1:12">
      <c r="A26" s="12">
        <v>18</v>
      </c>
      <c r="B26" s="20" t="s">
        <v>176</v>
      </c>
      <c r="C26" s="14"/>
      <c r="D26" s="17"/>
      <c r="E26" s="16">
        <v>2</v>
      </c>
      <c r="F26" s="17" t="s">
        <v>138</v>
      </c>
      <c r="G26" s="37">
        <v>45923</v>
      </c>
      <c r="H26" s="37">
        <v>45930</v>
      </c>
      <c r="I26" s="19"/>
      <c r="J26" s="20"/>
      <c r="K26" s="23"/>
      <c r="L26" s="23"/>
    </row>
    <row r="27" spans="1:12">
      <c r="A27" s="12">
        <v>19</v>
      </c>
      <c r="B27" s="20" t="s">
        <v>177</v>
      </c>
      <c r="C27" s="20"/>
      <c r="D27" s="20"/>
      <c r="E27" s="17" t="s">
        <v>58</v>
      </c>
      <c r="F27" s="17" t="s">
        <v>150</v>
      </c>
      <c r="G27" s="37">
        <v>45923</v>
      </c>
      <c r="H27" s="37">
        <v>45930</v>
      </c>
      <c r="I27" s="19"/>
      <c r="J27" s="20"/>
      <c r="K27" s="20"/>
      <c r="L27" s="20"/>
    </row>
    <row r="28" spans="1:12">
      <c r="A28" s="12">
        <v>20</v>
      </c>
      <c r="B28" s="20" t="s">
        <v>178</v>
      </c>
      <c r="C28" s="20"/>
      <c r="D28" s="20"/>
      <c r="E28" s="17">
        <v>1</v>
      </c>
      <c r="F28" s="37" t="s">
        <v>93</v>
      </c>
      <c r="G28" s="37">
        <v>45923</v>
      </c>
      <c r="H28" s="37">
        <v>45930</v>
      </c>
      <c r="I28" s="19"/>
      <c r="J28" s="20"/>
      <c r="K28" s="23"/>
      <c r="L28" s="23"/>
    </row>
    <row r="29" spans="1:12">
      <c r="A29" s="12">
        <v>21</v>
      </c>
      <c r="B29" s="20" t="s">
        <v>179</v>
      </c>
      <c r="C29" s="14"/>
      <c r="D29" s="20"/>
      <c r="E29" s="17" t="s">
        <v>145</v>
      </c>
      <c r="F29" s="17" t="s">
        <v>138</v>
      </c>
      <c r="G29" s="37">
        <v>45923</v>
      </c>
      <c r="H29" s="37">
        <v>45929</v>
      </c>
      <c r="I29" s="19"/>
      <c r="J29" s="22"/>
      <c r="K29" s="20"/>
      <c r="L29" s="23"/>
    </row>
    <row r="30" spans="1:12">
      <c r="A30" s="12">
        <v>22</v>
      </c>
      <c r="B30" s="20" t="s">
        <v>180</v>
      </c>
      <c r="C30" s="20"/>
      <c r="D30" s="20"/>
      <c r="E30" s="17" t="s">
        <v>58</v>
      </c>
      <c r="F30" s="17" t="s">
        <v>150</v>
      </c>
      <c r="G30" s="37">
        <v>45923</v>
      </c>
      <c r="H30" s="37">
        <v>45930</v>
      </c>
      <c r="I30" s="19"/>
      <c r="J30" s="22"/>
      <c r="K30" s="23"/>
      <c r="L30" s="20"/>
    </row>
    <row r="31" spans="1:12">
      <c r="A31" s="12">
        <v>23</v>
      </c>
      <c r="B31" s="20" t="s">
        <v>181</v>
      </c>
      <c r="C31" s="21"/>
      <c r="D31" s="15"/>
      <c r="E31" s="17">
        <v>1</v>
      </c>
      <c r="F31" s="17" t="s">
        <v>148</v>
      </c>
      <c r="G31" s="37">
        <v>45923</v>
      </c>
      <c r="H31" s="37">
        <v>45930</v>
      </c>
      <c r="I31" s="19"/>
      <c r="J31" s="20" t="s">
        <v>149</v>
      </c>
      <c r="K31" s="23"/>
      <c r="L31" s="23"/>
    </row>
    <row r="32" spans="1:12">
      <c r="A32" s="12">
        <v>24</v>
      </c>
      <c r="B32" s="20" t="s">
        <v>182</v>
      </c>
      <c r="C32" s="21"/>
      <c r="D32" s="17"/>
      <c r="E32" s="17">
        <v>1</v>
      </c>
      <c r="F32" s="17" t="s">
        <v>56</v>
      </c>
      <c r="G32" s="37">
        <v>45923</v>
      </c>
      <c r="H32" s="37">
        <v>45930</v>
      </c>
      <c r="I32" s="19"/>
      <c r="J32" s="22"/>
      <c r="K32" s="20"/>
      <c r="L32" s="20"/>
    </row>
    <row r="33" spans="1:12">
      <c r="A33" s="12">
        <v>25</v>
      </c>
      <c r="B33" s="20" t="s">
        <v>183</v>
      </c>
      <c r="C33" s="20"/>
      <c r="D33" s="17"/>
      <c r="E33" s="17">
        <v>1</v>
      </c>
      <c r="F33" s="17" t="s">
        <v>138</v>
      </c>
      <c r="G33" s="37">
        <v>45923</v>
      </c>
      <c r="H33" s="37">
        <v>45930</v>
      </c>
      <c r="I33" s="19"/>
      <c r="J33" s="22"/>
      <c r="K33" s="23"/>
      <c r="L33" s="20"/>
    </row>
    <row r="34" spans="1:12">
      <c r="A34" s="12">
        <v>26</v>
      </c>
      <c r="B34" s="20" t="s">
        <v>184</v>
      </c>
      <c r="C34" s="21"/>
      <c r="D34" s="20"/>
      <c r="E34" s="17">
        <v>1</v>
      </c>
      <c r="F34" s="17" t="s">
        <v>93</v>
      </c>
      <c r="G34" s="37">
        <v>45923</v>
      </c>
      <c r="H34" s="37">
        <v>45930</v>
      </c>
      <c r="I34" s="19"/>
      <c r="J34" s="22"/>
      <c r="K34" s="20"/>
      <c r="L34" s="20"/>
    </row>
    <row r="35" spans="1:12">
      <c r="A35" s="12">
        <v>27</v>
      </c>
      <c r="B35" s="20" t="s">
        <v>185</v>
      </c>
      <c r="C35" s="20"/>
      <c r="D35" s="20"/>
      <c r="E35" s="17">
        <v>1</v>
      </c>
      <c r="F35" s="17" t="s">
        <v>60</v>
      </c>
      <c r="G35" s="37">
        <v>45923</v>
      </c>
      <c r="H35" s="37">
        <v>45930</v>
      </c>
      <c r="I35" s="19"/>
      <c r="J35" s="22"/>
      <c r="K35" s="20"/>
      <c r="L35" s="20"/>
    </row>
    <row r="36" spans="1:12">
      <c r="A36" s="12">
        <v>28</v>
      </c>
      <c r="B36" s="20" t="s">
        <v>186</v>
      </c>
      <c r="C36" s="20"/>
      <c r="D36" s="20"/>
      <c r="E36" s="17">
        <v>1</v>
      </c>
      <c r="F36" s="17" t="s">
        <v>56</v>
      </c>
      <c r="G36" s="37">
        <v>45923</v>
      </c>
      <c r="H36" s="37">
        <v>45930</v>
      </c>
      <c r="I36" s="19"/>
      <c r="J36" s="22"/>
      <c r="K36" s="20"/>
      <c r="L36" s="20"/>
    </row>
    <row r="37" spans="1:12">
      <c r="A37" s="12">
        <v>29</v>
      </c>
      <c r="B37" s="20" t="s">
        <v>187</v>
      </c>
      <c r="C37" s="20"/>
      <c r="D37" s="20"/>
      <c r="E37" s="17" t="s">
        <v>58</v>
      </c>
      <c r="F37" s="17" t="s">
        <v>76</v>
      </c>
      <c r="G37" s="37">
        <v>45923</v>
      </c>
      <c r="H37" s="37">
        <v>45930</v>
      </c>
      <c r="I37" s="19"/>
      <c r="J37" s="22"/>
      <c r="K37" s="20"/>
      <c r="L37" s="20"/>
    </row>
    <row r="38" spans="1:12">
      <c r="A38" s="12">
        <v>30</v>
      </c>
      <c r="B38" s="20" t="s">
        <v>188</v>
      </c>
      <c r="C38" s="20"/>
      <c r="D38" s="20"/>
      <c r="E38" s="17" t="s">
        <v>58</v>
      </c>
      <c r="F38" s="17" t="s">
        <v>150</v>
      </c>
      <c r="G38" s="37">
        <v>45923</v>
      </c>
      <c r="H38" s="37">
        <v>45930</v>
      </c>
      <c r="I38" s="19"/>
      <c r="J38" s="22"/>
      <c r="K38" s="20"/>
      <c r="L38" s="20"/>
    </row>
    <row r="39" spans="1:12">
      <c r="A39" s="12">
        <v>31</v>
      </c>
      <c r="B39" s="20" t="s">
        <v>189</v>
      </c>
      <c r="C39" s="21"/>
      <c r="D39" s="20"/>
      <c r="E39" s="17">
        <v>1</v>
      </c>
      <c r="F39" s="17" t="s">
        <v>60</v>
      </c>
      <c r="G39" s="37">
        <v>45923</v>
      </c>
      <c r="H39" s="37">
        <v>45930</v>
      </c>
      <c r="I39" s="19"/>
      <c r="J39" s="22"/>
      <c r="K39" s="20"/>
      <c r="L39" s="20"/>
    </row>
    <row r="40" spans="1:12">
      <c r="A40" s="12">
        <v>32</v>
      </c>
      <c r="B40" s="20" t="s">
        <v>190</v>
      </c>
      <c r="C40" s="21"/>
      <c r="D40" s="17"/>
      <c r="E40" s="17">
        <v>1</v>
      </c>
      <c r="F40" s="17" t="s">
        <v>138</v>
      </c>
      <c r="G40" s="37">
        <v>45923</v>
      </c>
      <c r="H40" s="37">
        <v>45930</v>
      </c>
      <c r="I40" s="19"/>
      <c r="J40" s="22"/>
      <c r="K40" s="20"/>
      <c r="L40" s="20"/>
    </row>
    <row r="41" spans="1:12">
      <c r="A41" s="12">
        <v>33</v>
      </c>
      <c r="B41" s="20" t="s">
        <v>191</v>
      </c>
      <c r="C41" s="20"/>
      <c r="D41" s="20"/>
      <c r="E41" s="17" t="s">
        <v>58</v>
      </c>
      <c r="F41" s="17" t="s">
        <v>150</v>
      </c>
      <c r="G41" s="37">
        <v>45923</v>
      </c>
      <c r="H41" s="37">
        <v>45930</v>
      </c>
      <c r="I41" s="19"/>
      <c r="J41" s="20"/>
      <c r="K41" s="20"/>
      <c r="L41" s="20"/>
    </row>
    <row r="42" spans="1:12">
      <c r="A42" s="12">
        <v>34</v>
      </c>
      <c r="B42" s="20" t="s">
        <v>192</v>
      </c>
      <c r="C42" s="20"/>
      <c r="D42" s="20"/>
      <c r="E42" s="17">
        <v>1</v>
      </c>
      <c r="F42" s="17" t="s">
        <v>56</v>
      </c>
      <c r="G42" s="37">
        <v>45923</v>
      </c>
      <c r="H42" s="37">
        <v>45930</v>
      </c>
      <c r="I42" s="19"/>
      <c r="J42" s="20"/>
      <c r="K42" s="20"/>
      <c r="L42" s="20"/>
    </row>
    <row r="43" spans="1:12">
      <c r="A43" s="12">
        <v>35</v>
      </c>
      <c r="B43" s="20" t="s">
        <v>193</v>
      </c>
      <c r="C43" s="21"/>
      <c r="D43" s="20"/>
      <c r="E43" s="17">
        <v>1</v>
      </c>
      <c r="F43" s="17" t="s">
        <v>60</v>
      </c>
      <c r="G43" s="37">
        <v>45923</v>
      </c>
      <c r="H43" s="37">
        <v>45930</v>
      </c>
      <c r="I43" s="19"/>
      <c r="J43" s="22"/>
      <c r="K43" s="20"/>
      <c r="L43" s="20"/>
    </row>
    <row r="44" spans="1:12">
      <c r="A44" s="12">
        <v>36</v>
      </c>
      <c r="B44" s="20" t="s">
        <v>194</v>
      </c>
      <c r="C44" s="21"/>
      <c r="D44" s="20"/>
      <c r="E44" s="17">
        <v>1</v>
      </c>
      <c r="F44" s="17" t="s">
        <v>152</v>
      </c>
      <c r="G44" s="37">
        <v>45923</v>
      </c>
      <c r="H44" s="37">
        <v>45930</v>
      </c>
      <c r="I44" s="19"/>
      <c r="J44" s="22"/>
      <c r="K44" s="20"/>
      <c r="L44" s="20"/>
    </row>
    <row r="45" spans="1:12">
      <c r="A45" s="12">
        <v>37</v>
      </c>
      <c r="B45" s="20" t="s">
        <v>195</v>
      </c>
      <c r="C45" s="21"/>
      <c r="D45" s="20"/>
      <c r="E45" s="17" t="s">
        <v>91</v>
      </c>
      <c r="F45" s="17" t="s">
        <v>152</v>
      </c>
      <c r="G45" s="37">
        <v>45923</v>
      </c>
      <c r="H45" s="37">
        <v>45930</v>
      </c>
      <c r="I45" s="19"/>
      <c r="J45" s="22"/>
      <c r="K45" s="20"/>
      <c r="L45" s="20"/>
    </row>
    <row r="46" spans="1:12">
      <c r="A46" s="12">
        <v>38</v>
      </c>
      <c r="B46" s="20" t="s">
        <v>196</v>
      </c>
      <c r="C46" s="20"/>
      <c r="D46" s="17"/>
      <c r="E46" s="17">
        <v>1</v>
      </c>
      <c r="F46" s="17" t="s">
        <v>60</v>
      </c>
      <c r="G46" s="37">
        <v>45923</v>
      </c>
      <c r="H46" s="37">
        <v>45930</v>
      </c>
      <c r="I46" s="19"/>
      <c r="J46" s="22"/>
      <c r="K46" s="20"/>
      <c r="L46" s="20"/>
    </row>
    <row r="47" spans="1:12">
      <c r="A47" s="12">
        <v>39</v>
      </c>
      <c r="B47" s="20" t="s">
        <v>197</v>
      </c>
      <c r="C47" s="21"/>
      <c r="D47" s="20"/>
      <c r="E47" s="17">
        <v>1</v>
      </c>
      <c r="F47" s="17" t="s">
        <v>151</v>
      </c>
      <c r="G47" s="37">
        <v>45923</v>
      </c>
      <c r="H47" s="37">
        <v>45930</v>
      </c>
      <c r="I47" s="19"/>
      <c r="J47" s="22"/>
      <c r="K47" s="20"/>
      <c r="L47" s="20"/>
    </row>
    <row r="48" spans="1:12">
      <c r="A48" s="12">
        <v>40</v>
      </c>
      <c r="B48" s="20" t="s">
        <v>198</v>
      </c>
      <c r="C48" s="21"/>
      <c r="D48" s="15"/>
      <c r="E48" s="17">
        <v>1</v>
      </c>
      <c r="F48" s="17" t="s">
        <v>56</v>
      </c>
      <c r="G48" s="37">
        <v>45923</v>
      </c>
      <c r="H48" s="37">
        <v>45930</v>
      </c>
      <c r="I48" s="19"/>
      <c r="J48" s="20"/>
      <c r="K48" s="20"/>
      <c r="L48" s="20"/>
    </row>
    <row r="49" spans="1:12">
      <c r="A49" s="12">
        <v>41</v>
      </c>
      <c r="B49" s="20" t="s">
        <v>199</v>
      </c>
      <c r="C49" s="20"/>
      <c r="D49" s="20"/>
      <c r="E49" s="17">
        <v>1</v>
      </c>
      <c r="F49" s="17" t="s">
        <v>93</v>
      </c>
      <c r="G49" s="37">
        <v>45923</v>
      </c>
      <c r="H49" s="37">
        <v>45930</v>
      </c>
      <c r="I49" s="19"/>
      <c r="J49" s="22"/>
      <c r="K49" s="20"/>
      <c r="L49" s="20"/>
    </row>
    <row r="50" spans="1:12">
      <c r="A50" s="12">
        <v>42</v>
      </c>
      <c r="B50" s="20" t="s">
        <v>200</v>
      </c>
      <c r="C50" s="20"/>
      <c r="D50" s="20"/>
      <c r="E50" s="17">
        <v>1</v>
      </c>
      <c r="F50" s="17" t="s">
        <v>93</v>
      </c>
      <c r="G50" s="37">
        <v>45923</v>
      </c>
      <c r="H50" s="37">
        <v>45930</v>
      </c>
      <c r="I50" s="19"/>
      <c r="J50" s="20"/>
      <c r="K50" s="20"/>
      <c r="L50" s="20"/>
    </row>
    <row r="51" spans="1:12">
      <c r="A51" s="12">
        <v>43</v>
      </c>
      <c r="B51" s="20" t="s">
        <v>201</v>
      </c>
      <c r="C51" s="20"/>
      <c r="D51" s="20"/>
      <c r="E51" s="17">
        <v>3</v>
      </c>
      <c r="F51" s="17" t="s">
        <v>93</v>
      </c>
      <c r="G51" s="37">
        <v>45923</v>
      </c>
      <c r="H51" s="37">
        <v>45930</v>
      </c>
      <c r="I51" s="19"/>
      <c r="J51" s="20"/>
      <c r="K51" s="20"/>
      <c r="L51" s="20"/>
    </row>
    <row r="52" spans="1:12">
      <c r="A52" s="12">
        <v>44</v>
      </c>
      <c r="B52" s="20" t="s">
        <v>202</v>
      </c>
      <c r="C52" s="20"/>
      <c r="D52" s="20"/>
      <c r="E52" s="17">
        <v>1</v>
      </c>
      <c r="F52" s="17" t="s">
        <v>56</v>
      </c>
      <c r="G52" s="37">
        <v>45923</v>
      </c>
      <c r="H52" s="37">
        <v>45930</v>
      </c>
      <c r="I52" s="19"/>
      <c r="J52" s="20"/>
      <c r="K52" s="20"/>
      <c r="L52" s="20"/>
    </row>
    <row r="53" spans="1:12">
      <c r="A53" s="12">
        <v>45</v>
      </c>
      <c r="B53" s="20" t="s">
        <v>203</v>
      </c>
      <c r="C53" s="20"/>
      <c r="D53" s="20"/>
      <c r="E53" s="17">
        <v>2</v>
      </c>
      <c r="F53" s="17" t="s">
        <v>138</v>
      </c>
      <c r="G53" s="37">
        <v>45923</v>
      </c>
      <c r="H53" s="37">
        <v>45930</v>
      </c>
      <c r="I53" s="19"/>
      <c r="J53" s="22"/>
      <c r="K53" s="20"/>
      <c r="L53" s="20"/>
    </row>
    <row r="54" spans="1:12">
      <c r="A54" s="12">
        <v>46</v>
      </c>
      <c r="B54" s="20" t="s">
        <v>204</v>
      </c>
      <c r="C54" s="21"/>
      <c r="D54" s="15"/>
      <c r="E54" s="17">
        <v>1</v>
      </c>
      <c r="F54" s="17" t="s">
        <v>56</v>
      </c>
      <c r="G54" s="37">
        <v>45923</v>
      </c>
      <c r="H54" s="37">
        <v>45930</v>
      </c>
      <c r="I54" s="19"/>
      <c r="J54" s="22"/>
      <c r="K54" s="20"/>
      <c r="L54" s="20"/>
    </row>
    <row r="55" spans="1:12">
      <c r="A55" s="12">
        <v>47</v>
      </c>
      <c r="B55" s="20" t="s">
        <v>205</v>
      </c>
      <c r="C55" s="21"/>
      <c r="D55" s="20"/>
      <c r="E55" s="17">
        <v>1</v>
      </c>
      <c r="F55" s="17" t="s">
        <v>93</v>
      </c>
      <c r="G55" s="37">
        <v>45923</v>
      </c>
      <c r="H55" s="37">
        <v>45930</v>
      </c>
      <c r="I55" s="19"/>
      <c r="J55" s="20"/>
      <c r="K55" s="20"/>
      <c r="L55" s="20"/>
    </row>
    <row r="56" spans="1:12">
      <c r="A56" s="12">
        <v>48</v>
      </c>
      <c r="B56" s="20" t="s">
        <v>206</v>
      </c>
      <c r="C56" s="21"/>
      <c r="D56" s="15"/>
      <c r="E56" s="17">
        <v>1</v>
      </c>
      <c r="F56" s="37" t="s">
        <v>93</v>
      </c>
      <c r="G56" s="37">
        <v>45923</v>
      </c>
      <c r="H56" s="37">
        <v>45930</v>
      </c>
      <c r="I56" s="19"/>
      <c r="J56" s="22"/>
      <c r="K56" s="20"/>
      <c r="L56" s="20"/>
    </row>
  </sheetData>
  <sortState ref="B9:J65">
    <sortCondition ref="B9"/>
  </sortState>
  <mergeCells count="4">
    <mergeCell ref="A1:L1"/>
    <mergeCell ref="A2:L2"/>
    <mergeCell ref="F3:H3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56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58"/>
  <sheetViews>
    <sheetView workbookViewId="0">
      <selection activeCell="H23" sqref="H23"/>
    </sheetView>
  </sheetViews>
  <sheetFormatPr defaultRowHeight="13.8"/>
  <cols>
    <col min="1" max="1" width="4.09765625" customWidth="1"/>
    <col min="2" max="2" width="21.5" customWidth="1"/>
    <col min="3" max="3" width="10.5" customWidth="1"/>
    <col min="4" max="4" width="10.19921875" customWidth="1"/>
    <col min="5" max="5" width="16.59765625" customWidth="1"/>
    <col min="6" max="6" width="11.8984375" customWidth="1"/>
    <col min="7" max="7" width="10.5" customWidth="1"/>
    <col min="8" max="9" width="10.19921875" customWidth="1"/>
  </cols>
  <sheetData>
    <row r="1" spans="1:12" ht="22.2">
      <c r="A1" s="58" t="s">
        <v>156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2">
      <c r="A2" s="59" t="s">
        <v>0</v>
      </c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</row>
    <row r="3" spans="1:12" ht="14.25" customHeight="1">
      <c r="A3" s="1"/>
      <c r="B3" s="2" t="s">
        <v>1</v>
      </c>
      <c r="C3" s="3" t="s">
        <v>2</v>
      </c>
      <c r="D3" s="4"/>
      <c r="E3" s="4" t="s">
        <v>3</v>
      </c>
      <c r="F3" s="61" t="s">
        <v>4</v>
      </c>
      <c r="G3" s="61"/>
      <c r="H3" s="61"/>
      <c r="I3" s="5"/>
      <c r="J3" s="6"/>
      <c r="K3" s="6"/>
      <c r="L3" s="6"/>
    </row>
    <row r="4" spans="1:12" ht="14.25" customHeight="1">
      <c r="A4" s="7"/>
      <c r="B4" s="2" t="s">
        <v>5</v>
      </c>
      <c r="C4" s="3" t="s">
        <v>6</v>
      </c>
      <c r="D4" s="4"/>
      <c r="E4" s="4"/>
      <c r="F4" s="5" t="s">
        <v>7</v>
      </c>
      <c r="G4" s="5" t="s">
        <v>8</v>
      </c>
      <c r="H4" s="8" t="s">
        <v>9</v>
      </c>
      <c r="I4" s="8"/>
      <c r="J4" s="9"/>
      <c r="K4" s="9"/>
      <c r="L4" s="9"/>
    </row>
    <row r="5" spans="1:12" ht="14.25" customHeight="1">
      <c r="A5" s="7"/>
      <c r="B5" s="2" t="s">
        <v>10</v>
      </c>
      <c r="C5" s="62" t="s">
        <v>11</v>
      </c>
      <c r="D5" s="62"/>
      <c r="E5" s="62"/>
      <c r="F5" s="5" t="s">
        <v>12</v>
      </c>
      <c r="G5" s="5" t="s">
        <v>13</v>
      </c>
      <c r="H5" s="10" t="s">
        <v>14</v>
      </c>
      <c r="I5" s="10"/>
      <c r="J5" s="2"/>
      <c r="K5" s="2"/>
      <c r="L5" s="2"/>
    </row>
    <row r="6" spans="1:12" ht="14.25" customHeight="1">
      <c r="A6" s="7"/>
      <c r="B6" s="2" t="s">
        <v>15</v>
      </c>
      <c r="C6" s="3" t="s">
        <v>16</v>
      </c>
      <c r="D6" s="4"/>
      <c r="E6" s="4"/>
      <c r="F6" s="5" t="s">
        <v>17</v>
      </c>
      <c r="G6" s="5" t="s">
        <v>18</v>
      </c>
      <c r="H6" s="8" t="s">
        <v>19</v>
      </c>
      <c r="I6" s="8"/>
      <c r="J6" s="9"/>
      <c r="K6" s="9"/>
      <c r="L6" s="9"/>
    </row>
    <row r="7" spans="1:12" ht="14.25" customHeight="1">
      <c r="A7" s="7"/>
      <c r="B7" s="7"/>
      <c r="C7" s="3"/>
      <c r="D7" s="4"/>
      <c r="E7" s="4"/>
      <c r="F7" s="5" t="s">
        <v>20</v>
      </c>
      <c r="G7" s="8" t="s">
        <v>21</v>
      </c>
      <c r="H7" s="10" t="s">
        <v>22</v>
      </c>
      <c r="I7" s="10"/>
      <c r="J7" s="2"/>
      <c r="K7" s="2"/>
      <c r="L7" s="2"/>
    </row>
    <row r="8" spans="1:12" ht="39.6">
      <c r="A8" s="35" t="s">
        <v>23</v>
      </c>
      <c r="B8" s="35" t="s">
        <v>24</v>
      </c>
      <c r="C8" s="35" t="s">
        <v>25</v>
      </c>
      <c r="D8" s="36" t="s">
        <v>158</v>
      </c>
      <c r="E8" s="36" t="s">
        <v>27</v>
      </c>
      <c r="F8" s="36" t="s">
        <v>28</v>
      </c>
      <c r="G8" s="36" t="s">
        <v>29</v>
      </c>
      <c r="H8" s="36" t="s">
        <v>31</v>
      </c>
      <c r="I8" s="38" t="s">
        <v>32</v>
      </c>
      <c r="J8" s="38"/>
      <c r="K8" s="36"/>
    </row>
    <row r="9" spans="1:12">
      <c r="A9" s="12">
        <v>1</v>
      </c>
      <c r="B9" s="12"/>
      <c r="C9" s="21"/>
      <c r="D9" s="17"/>
      <c r="E9" s="17"/>
      <c r="F9" s="37"/>
      <c r="G9" s="37"/>
      <c r="H9" s="19"/>
      <c r="I9" s="22"/>
      <c r="J9" s="20"/>
      <c r="K9" s="20"/>
    </row>
    <row r="10" spans="1:12">
      <c r="A10" s="12">
        <v>2</v>
      </c>
      <c r="B10" s="12"/>
      <c r="C10" s="21"/>
      <c r="D10" s="17"/>
      <c r="E10" s="17"/>
      <c r="F10" s="37"/>
      <c r="G10" s="37"/>
      <c r="H10" s="19"/>
      <c r="I10" s="20"/>
      <c r="J10" s="23"/>
      <c r="K10" s="23"/>
    </row>
    <row r="11" spans="1:12">
      <c r="A11" s="12">
        <v>3</v>
      </c>
      <c r="B11" s="12"/>
      <c r="C11" s="21"/>
      <c r="D11" s="17"/>
      <c r="E11" s="17"/>
      <c r="F11" s="37"/>
      <c r="G11" s="37"/>
      <c r="H11" s="19"/>
      <c r="I11" s="22"/>
      <c r="J11" s="20"/>
      <c r="K11" s="20"/>
    </row>
    <row r="12" spans="1:12">
      <c r="A12" s="12">
        <v>4</v>
      </c>
      <c r="B12" s="12"/>
      <c r="C12" s="20"/>
      <c r="D12" s="17"/>
      <c r="E12" s="17"/>
      <c r="F12" s="37"/>
      <c r="G12" s="37"/>
      <c r="H12" s="19"/>
      <c r="I12" s="20"/>
      <c r="J12" s="20"/>
      <c r="K12" s="20"/>
    </row>
    <row r="13" spans="1:12">
      <c r="A13" s="12">
        <v>5</v>
      </c>
      <c r="B13" s="20"/>
      <c r="C13" s="21"/>
      <c r="D13" s="17"/>
      <c r="E13" s="17"/>
      <c r="F13" s="37"/>
      <c r="G13" s="37"/>
      <c r="H13" s="19"/>
      <c r="I13" s="20"/>
      <c r="J13" s="23"/>
      <c r="K13" s="23"/>
    </row>
    <row r="14" spans="1:12">
      <c r="A14" s="12">
        <v>6</v>
      </c>
      <c r="B14" s="12"/>
      <c r="C14" s="21"/>
      <c r="D14" s="17"/>
      <c r="E14" s="17"/>
      <c r="F14" s="37"/>
      <c r="G14" s="37"/>
      <c r="H14" s="19"/>
      <c r="I14" s="22"/>
      <c r="J14" s="23"/>
      <c r="K14" s="23"/>
    </row>
    <row r="15" spans="1:12">
      <c r="A15" s="12">
        <v>7</v>
      </c>
      <c r="B15" s="20"/>
      <c r="C15" s="21"/>
      <c r="D15" s="16"/>
      <c r="E15" s="17"/>
      <c r="F15" s="37"/>
      <c r="G15" s="37"/>
      <c r="H15" s="19"/>
      <c r="I15" s="20"/>
      <c r="J15" s="20"/>
      <c r="K15" s="20"/>
    </row>
    <row r="16" spans="1:12">
      <c r="A16" s="12">
        <v>8</v>
      </c>
      <c r="B16" s="20"/>
      <c r="C16" s="21"/>
      <c r="D16" s="16"/>
      <c r="E16" s="17"/>
      <c r="F16" s="37"/>
      <c r="G16" s="37"/>
      <c r="H16" s="19"/>
      <c r="I16" s="22"/>
      <c r="J16" s="23"/>
      <c r="K16" s="23"/>
    </row>
    <row r="17" spans="1:11">
      <c r="A17" s="12">
        <v>9</v>
      </c>
      <c r="B17" s="20"/>
      <c r="C17" s="20"/>
      <c r="D17" s="17"/>
      <c r="E17" s="17"/>
      <c r="F17" s="37"/>
      <c r="G17" s="37"/>
      <c r="H17" s="19"/>
      <c r="I17" s="22"/>
      <c r="J17" s="23"/>
      <c r="K17" s="23"/>
    </row>
    <row r="18" spans="1:11">
      <c r="A18" s="12">
        <v>10</v>
      </c>
      <c r="B18" s="20"/>
      <c r="C18" s="20"/>
      <c r="D18" s="17"/>
      <c r="E18" s="17"/>
      <c r="F18" s="37"/>
      <c r="G18" s="37"/>
      <c r="H18" s="19"/>
      <c r="I18" s="22"/>
      <c r="J18" s="20"/>
      <c r="K18" s="20"/>
    </row>
    <row r="19" spans="1:11">
      <c r="A19" s="12">
        <v>11</v>
      </c>
      <c r="B19" s="20"/>
      <c r="C19" s="20"/>
      <c r="D19" s="17"/>
      <c r="E19" s="17"/>
      <c r="F19" s="37"/>
      <c r="G19" s="37"/>
      <c r="H19" s="19"/>
      <c r="I19" s="20"/>
      <c r="J19" s="20"/>
      <c r="K19" s="20"/>
    </row>
    <row r="20" spans="1:11">
      <c r="A20" s="12">
        <v>12</v>
      </c>
      <c r="B20" s="12"/>
      <c r="C20" s="20"/>
      <c r="D20" s="17"/>
      <c r="E20" s="17"/>
      <c r="F20" s="37"/>
      <c r="G20" s="37"/>
      <c r="H20" s="19"/>
      <c r="I20" s="22"/>
      <c r="J20" s="23"/>
      <c r="K20" s="23"/>
    </row>
    <row r="21" spans="1:11">
      <c r="A21" s="12">
        <v>13</v>
      </c>
      <c r="B21" s="20"/>
      <c r="C21" s="21"/>
      <c r="D21" s="17"/>
      <c r="E21" s="17"/>
      <c r="F21" s="37"/>
      <c r="G21" s="37"/>
      <c r="H21" s="19"/>
      <c r="I21" s="22"/>
      <c r="J21" s="23"/>
      <c r="K21" s="23"/>
    </row>
    <row r="22" spans="1:11">
      <c r="A22" s="12">
        <v>14</v>
      </c>
      <c r="B22" s="20"/>
      <c r="C22" s="20"/>
      <c r="D22" s="17"/>
      <c r="E22" s="17"/>
      <c r="F22" s="37"/>
      <c r="G22" s="37"/>
      <c r="H22" s="19"/>
      <c r="I22" s="22"/>
      <c r="J22" s="20"/>
      <c r="K22" s="20"/>
    </row>
    <row r="23" spans="1:11">
      <c r="A23" s="12">
        <v>15</v>
      </c>
      <c r="B23" s="12"/>
      <c r="C23" s="20"/>
      <c r="D23" s="17"/>
      <c r="E23" s="17"/>
      <c r="F23" s="37"/>
      <c r="G23" s="37"/>
      <c r="H23" s="19"/>
      <c r="I23" s="22"/>
      <c r="J23" s="20"/>
      <c r="K23" s="20"/>
    </row>
    <row r="24" spans="1:11">
      <c r="A24" s="12">
        <v>16</v>
      </c>
      <c r="B24" s="20"/>
      <c r="C24" s="20"/>
      <c r="D24" s="17"/>
      <c r="E24" s="17"/>
      <c r="F24" s="37"/>
      <c r="G24" s="37"/>
      <c r="H24" s="19"/>
      <c r="I24" s="22"/>
      <c r="J24" s="23"/>
      <c r="K24" s="23"/>
    </row>
    <row r="25" spans="1:11">
      <c r="A25" s="12">
        <v>17</v>
      </c>
      <c r="B25" s="20"/>
      <c r="C25" s="20"/>
      <c r="D25" s="17"/>
      <c r="E25" s="17"/>
      <c r="F25" s="37"/>
      <c r="G25" s="37"/>
      <c r="H25" s="19"/>
      <c r="I25" s="22"/>
      <c r="J25" s="23"/>
      <c r="K25" s="23"/>
    </row>
    <row r="26" spans="1:11">
      <c r="A26" s="12">
        <v>18</v>
      </c>
      <c r="B26" s="20"/>
      <c r="C26" s="21"/>
      <c r="D26" s="17"/>
      <c r="E26" s="17"/>
      <c r="F26" s="37"/>
      <c r="G26" s="37"/>
      <c r="H26" s="19"/>
      <c r="I26" s="22"/>
      <c r="J26" s="23"/>
      <c r="K26" s="23"/>
    </row>
    <row r="27" spans="1:11">
      <c r="A27" s="12">
        <v>19</v>
      </c>
      <c r="B27" s="20"/>
      <c r="C27" s="21"/>
      <c r="D27" s="17" t="s">
        <v>81</v>
      </c>
      <c r="E27" s="17"/>
      <c r="F27" s="37"/>
      <c r="G27" s="37"/>
      <c r="H27" s="19"/>
      <c r="I27" s="22"/>
      <c r="J27" s="20"/>
      <c r="K27" s="20"/>
    </row>
    <row r="28" spans="1:11">
      <c r="A28" s="12">
        <v>20</v>
      </c>
      <c r="B28" s="20"/>
      <c r="C28" s="21"/>
      <c r="D28" s="17"/>
      <c r="E28" s="17"/>
      <c r="F28" s="37"/>
      <c r="G28" s="37"/>
      <c r="H28" s="19"/>
      <c r="I28" s="22"/>
      <c r="J28" s="23"/>
      <c r="K28" s="23"/>
    </row>
    <row r="29" spans="1:11">
      <c r="A29" s="12">
        <v>21</v>
      </c>
      <c r="B29" s="20"/>
      <c r="C29" s="20"/>
      <c r="D29" s="17"/>
      <c r="E29" s="17"/>
      <c r="F29" s="37"/>
      <c r="G29" s="37"/>
      <c r="H29" s="19"/>
      <c r="I29" s="22"/>
      <c r="J29" s="23"/>
      <c r="K29" s="23"/>
    </row>
    <row r="30" spans="1:11">
      <c r="A30" s="12">
        <v>22</v>
      </c>
      <c r="B30" s="20"/>
      <c r="C30" s="21"/>
      <c r="D30" s="17"/>
      <c r="E30" s="17"/>
      <c r="F30" s="37"/>
      <c r="G30" s="37"/>
      <c r="H30" s="19"/>
      <c r="I30" s="22"/>
      <c r="J30" s="20"/>
      <c r="K30" s="20"/>
    </row>
    <row r="31" spans="1:11">
      <c r="A31" s="12">
        <v>23</v>
      </c>
      <c r="B31" s="20"/>
      <c r="C31" s="21"/>
      <c r="D31" s="17"/>
      <c r="E31" s="17"/>
      <c r="F31" s="37"/>
      <c r="G31" s="37"/>
      <c r="H31" s="19"/>
      <c r="I31" s="22"/>
      <c r="J31" s="23"/>
      <c r="K31" s="23"/>
    </row>
    <row r="32" spans="1:11">
      <c r="A32" s="12">
        <v>24</v>
      </c>
      <c r="B32" s="20"/>
      <c r="C32" s="21"/>
      <c r="D32" s="17"/>
      <c r="E32" s="17"/>
      <c r="F32" s="37"/>
      <c r="G32" s="37"/>
      <c r="H32" s="19"/>
      <c r="I32" s="22"/>
      <c r="J32" s="20"/>
      <c r="K32" s="20"/>
    </row>
    <row r="33" spans="1:12">
      <c r="A33" s="12">
        <v>25</v>
      </c>
      <c r="B33" s="20"/>
      <c r="C33" s="21"/>
      <c r="D33" s="17"/>
      <c r="E33" s="17"/>
      <c r="F33" s="37"/>
      <c r="G33" s="37"/>
      <c r="H33" s="19"/>
      <c r="I33" s="22"/>
      <c r="J33" s="20"/>
      <c r="K33" s="20"/>
    </row>
    <row r="34" spans="1:12">
      <c r="A34" s="12">
        <v>26</v>
      </c>
      <c r="B34" s="12"/>
      <c r="C34" s="21"/>
      <c r="D34" s="17"/>
      <c r="E34" s="17"/>
      <c r="F34" s="17"/>
      <c r="G34" s="37"/>
      <c r="H34" s="37"/>
      <c r="I34" s="19"/>
      <c r="J34" s="22"/>
      <c r="K34" s="20"/>
      <c r="L34" s="20"/>
    </row>
    <row r="35" spans="1:12">
      <c r="A35" s="12">
        <v>27</v>
      </c>
      <c r="B35" s="20"/>
      <c r="C35" s="20"/>
      <c r="D35" s="20"/>
      <c r="E35" s="17"/>
      <c r="F35" s="17"/>
      <c r="G35" s="37"/>
      <c r="H35" s="37"/>
      <c r="I35" s="19"/>
      <c r="J35" s="22"/>
      <c r="K35" s="20"/>
      <c r="L35" s="20"/>
    </row>
    <row r="36" spans="1:12">
      <c r="A36" s="12">
        <v>28</v>
      </c>
      <c r="B36" s="20"/>
      <c r="C36" s="20"/>
      <c r="D36" s="20"/>
      <c r="E36" s="17"/>
      <c r="F36" s="17"/>
      <c r="G36" s="37"/>
      <c r="H36" s="37"/>
      <c r="I36" s="19"/>
      <c r="J36" s="22"/>
      <c r="K36" s="20"/>
      <c r="L36" s="20"/>
    </row>
    <row r="37" spans="1:12">
      <c r="A37" s="12">
        <v>29</v>
      </c>
      <c r="B37" s="12"/>
      <c r="C37" s="21"/>
      <c r="D37" s="17"/>
      <c r="E37" s="17"/>
      <c r="F37" s="17"/>
      <c r="G37" s="37"/>
      <c r="H37" s="37"/>
      <c r="I37" s="19"/>
      <c r="J37" s="22"/>
      <c r="K37" s="20"/>
      <c r="L37" s="20"/>
    </row>
    <row r="38" spans="1:12">
      <c r="A38" s="12">
        <v>30</v>
      </c>
      <c r="B38" s="12"/>
      <c r="C38" s="20"/>
      <c r="D38" s="17"/>
      <c r="E38" s="17"/>
      <c r="F38" s="17"/>
      <c r="G38" s="37"/>
      <c r="H38" s="37"/>
      <c r="I38" s="19"/>
      <c r="J38" s="22"/>
      <c r="K38" s="20"/>
      <c r="L38" s="20"/>
    </row>
    <row r="39" spans="1:12">
      <c r="A39" s="12">
        <v>31</v>
      </c>
      <c r="B39" s="12"/>
      <c r="C39" s="14"/>
      <c r="D39" s="39"/>
      <c r="E39" s="17"/>
      <c r="F39" s="17"/>
      <c r="G39" s="37"/>
      <c r="H39" s="37"/>
      <c r="I39" s="19"/>
      <c r="J39" s="22"/>
      <c r="K39" s="20"/>
      <c r="L39" s="20"/>
    </row>
    <row r="40" spans="1:12">
      <c r="A40" s="12">
        <v>32</v>
      </c>
      <c r="B40" s="12"/>
      <c r="C40" s="14"/>
      <c r="D40" s="17"/>
      <c r="E40" s="17"/>
      <c r="F40" s="17"/>
      <c r="G40" s="37"/>
      <c r="H40" s="37"/>
      <c r="I40" s="19"/>
      <c r="J40" s="20"/>
      <c r="K40" s="20"/>
      <c r="L40" s="20"/>
    </row>
    <row r="41" spans="1:12">
      <c r="A41" s="12">
        <v>33</v>
      </c>
      <c r="B41" s="12"/>
      <c r="C41" s="14"/>
      <c r="D41" s="17"/>
      <c r="E41" s="16"/>
      <c r="F41" s="17"/>
      <c r="G41" s="37"/>
      <c r="H41" s="37"/>
      <c r="I41" s="19"/>
      <c r="J41" s="20"/>
      <c r="K41" s="20"/>
      <c r="L41" s="20"/>
    </row>
    <row r="42" spans="1:12">
      <c r="A42" s="12">
        <v>34</v>
      </c>
      <c r="B42" s="20"/>
      <c r="C42" s="14"/>
      <c r="D42" s="20"/>
      <c r="E42" s="17"/>
      <c r="F42" s="17"/>
      <c r="G42" s="37"/>
      <c r="H42" s="37"/>
      <c r="I42" s="19"/>
      <c r="J42" s="20"/>
      <c r="K42" s="20"/>
      <c r="L42" s="20"/>
    </row>
    <row r="43" spans="1:12">
      <c r="A43" s="12">
        <v>35</v>
      </c>
      <c r="B43" s="20"/>
      <c r="C43" s="20"/>
      <c r="D43" s="20"/>
      <c r="E43" s="17"/>
      <c r="F43" s="17"/>
      <c r="G43" s="37"/>
      <c r="H43" s="37"/>
      <c r="I43" s="19"/>
      <c r="J43" s="20"/>
      <c r="K43" s="20"/>
      <c r="L43" s="20"/>
    </row>
    <row r="44" spans="1:12">
      <c r="A44" s="12">
        <v>36</v>
      </c>
      <c r="B44" s="20"/>
      <c r="C44" s="20"/>
      <c r="D44" s="20"/>
      <c r="E44" s="17"/>
      <c r="F44" s="17"/>
      <c r="G44" s="37"/>
      <c r="H44" s="37"/>
      <c r="I44" s="19"/>
      <c r="J44" s="20"/>
      <c r="K44" s="20"/>
      <c r="L44" s="20"/>
    </row>
    <row r="45" spans="1:12">
      <c r="A45" s="12">
        <v>37</v>
      </c>
      <c r="B45" s="20"/>
      <c r="C45" s="20"/>
      <c r="D45" s="20"/>
      <c r="E45" s="17"/>
      <c r="F45" s="17"/>
      <c r="G45" s="37"/>
      <c r="H45" s="37"/>
      <c r="I45" s="19"/>
      <c r="J45" s="20"/>
      <c r="K45" s="20"/>
      <c r="L45" s="20"/>
    </row>
    <row r="46" spans="1:12">
      <c r="A46" s="12">
        <v>38</v>
      </c>
      <c r="B46" s="20"/>
      <c r="C46" s="20"/>
      <c r="D46" s="20"/>
      <c r="E46" s="17"/>
      <c r="F46" s="17"/>
      <c r="G46" s="37"/>
      <c r="H46" s="37"/>
      <c r="I46" s="19"/>
      <c r="J46" s="20"/>
      <c r="K46" s="20"/>
      <c r="L46" s="20"/>
    </row>
    <row r="47" spans="1:12">
      <c r="A47" s="12">
        <v>39</v>
      </c>
      <c r="B47" s="20"/>
      <c r="C47" s="20"/>
      <c r="D47" s="20"/>
      <c r="E47" s="17"/>
      <c r="F47" s="17"/>
      <c r="G47" s="37"/>
      <c r="H47" s="37"/>
      <c r="I47" s="19"/>
      <c r="J47" s="20"/>
      <c r="K47" s="20"/>
      <c r="L47" s="20"/>
    </row>
    <row r="48" spans="1:12">
      <c r="A48" s="12">
        <v>40</v>
      </c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</row>
    <row r="49" spans="1:12">
      <c r="A49" s="12">
        <v>41</v>
      </c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</row>
    <row r="50" spans="1:12">
      <c r="A50" s="12">
        <v>42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1:12">
      <c r="A51" s="12">
        <v>43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1:12">
      <c r="A52" s="12">
        <v>44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1:12">
      <c r="A53" s="12">
        <v>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1:12">
      <c r="A54" s="12">
        <v>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1:12">
      <c r="A55" s="12">
        <v>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1:12">
      <c r="A56" s="12">
        <v>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1:12">
      <c r="A57" s="12">
        <v>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1:12">
      <c r="A58" s="12">
        <v>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1:12">
      <c r="A59" s="12">
        <v>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1:12">
      <c r="A60" s="12">
        <v>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1:12">
      <c r="A61" s="12">
        <v>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1:12">
      <c r="A62" s="12">
        <v>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1:12">
      <c r="A63" s="12">
        <v>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1:12">
      <c r="A64" s="12">
        <v>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1:12">
      <c r="A65" s="12">
        <v>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1:12">
      <c r="A66" s="12">
        <v>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1:12">
      <c r="A67" s="12">
        <v>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1:12">
      <c r="A68" s="12">
        <v>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1:12">
      <c r="A69" s="12">
        <v>61</v>
      </c>
      <c r="B69" s="12"/>
      <c r="C69" s="21"/>
      <c r="D69" s="17"/>
      <c r="E69" s="16"/>
      <c r="F69" s="17"/>
      <c r="G69" s="18"/>
      <c r="H69" s="18"/>
      <c r="I69" s="20"/>
      <c r="J69" s="20"/>
      <c r="K69" s="20"/>
      <c r="L69" s="20"/>
    </row>
    <row r="70" spans="1:12">
      <c r="A70" s="12">
        <v>62</v>
      </c>
      <c r="B70" s="12"/>
      <c r="C70" s="21"/>
      <c r="D70" s="17"/>
      <c r="E70" s="16"/>
      <c r="F70" s="17"/>
      <c r="G70" s="18"/>
      <c r="H70" s="18"/>
      <c r="I70" s="20"/>
      <c r="J70" s="20"/>
      <c r="K70" s="20"/>
      <c r="L70" s="20"/>
    </row>
    <row r="71" spans="1:12">
      <c r="A71" s="12">
        <v>63</v>
      </c>
      <c r="B71" s="13"/>
      <c r="C71" s="14"/>
      <c r="D71" s="15"/>
      <c r="E71" s="16"/>
      <c r="F71" s="17"/>
      <c r="G71" s="18"/>
      <c r="H71" s="18"/>
      <c r="I71" s="20"/>
      <c r="J71" s="20"/>
      <c r="K71" s="20"/>
      <c r="L71" s="20"/>
    </row>
    <row r="72" spans="1:12">
      <c r="A72" s="12">
        <v>64</v>
      </c>
      <c r="B72" s="12"/>
      <c r="C72" s="21"/>
      <c r="D72" s="17"/>
      <c r="E72" s="16"/>
      <c r="F72" s="17"/>
      <c r="G72" s="18"/>
      <c r="H72" s="18"/>
      <c r="I72" s="20"/>
      <c r="J72" s="20"/>
      <c r="K72" s="20"/>
      <c r="L72" s="20"/>
    </row>
    <row r="73" spans="1:12">
      <c r="A73" s="12">
        <v>65</v>
      </c>
      <c r="B73" s="12"/>
      <c r="C73" s="21"/>
      <c r="D73" s="17"/>
      <c r="E73" s="16"/>
      <c r="F73" s="17"/>
      <c r="G73" s="18"/>
      <c r="H73" s="18"/>
      <c r="I73" s="20"/>
      <c r="J73" s="20"/>
      <c r="K73" s="20"/>
      <c r="L73" s="20"/>
    </row>
    <row r="74" spans="1:12">
      <c r="A74" s="12">
        <v>66</v>
      </c>
      <c r="B74" s="12"/>
      <c r="C74" s="14"/>
      <c r="D74" s="17"/>
      <c r="E74" s="16"/>
      <c r="F74" s="17"/>
      <c r="G74" s="18"/>
      <c r="H74" s="18"/>
      <c r="I74" s="20"/>
      <c r="J74" s="20"/>
      <c r="K74" s="20"/>
      <c r="L74" s="20"/>
    </row>
    <row r="75" spans="1:12">
      <c r="A75" s="12">
        <v>67</v>
      </c>
      <c r="B75" s="12"/>
      <c r="C75" s="21"/>
      <c r="D75" s="17"/>
      <c r="E75" s="16"/>
      <c r="F75" s="17"/>
      <c r="G75" s="18"/>
      <c r="H75" s="18"/>
      <c r="I75" s="20"/>
      <c r="J75" s="20"/>
      <c r="K75" s="20"/>
      <c r="L75" s="20"/>
    </row>
    <row r="76" spans="1:12">
      <c r="A76" s="12">
        <v>68</v>
      </c>
      <c r="B76" s="12"/>
      <c r="C76" s="21"/>
      <c r="D76" s="17"/>
      <c r="E76" s="16"/>
      <c r="F76" s="17"/>
      <c r="G76" s="18"/>
      <c r="H76" s="18"/>
      <c r="I76" s="20"/>
      <c r="J76" s="20"/>
      <c r="K76" s="20"/>
      <c r="L76" s="20"/>
    </row>
    <row r="77" spans="1:12">
      <c r="A77" s="12">
        <v>69</v>
      </c>
      <c r="B77" s="12"/>
      <c r="C77" s="21"/>
      <c r="D77" s="17"/>
      <c r="E77" s="16"/>
      <c r="F77" s="17"/>
      <c r="G77" s="18"/>
      <c r="H77" s="18"/>
      <c r="I77" s="20"/>
      <c r="J77" s="20"/>
      <c r="K77" s="20"/>
      <c r="L77" s="20"/>
    </row>
    <row r="78" spans="1:12">
      <c r="A78" s="12">
        <v>70</v>
      </c>
      <c r="B78" s="12"/>
      <c r="C78" s="14"/>
      <c r="D78" s="15"/>
      <c r="E78" s="16"/>
      <c r="F78" s="17"/>
      <c r="G78" s="18"/>
      <c r="H78" s="18"/>
      <c r="I78" s="20"/>
      <c r="J78" s="20"/>
      <c r="K78" s="20"/>
      <c r="L78" s="20"/>
    </row>
    <row r="79" spans="1:12">
      <c r="A79" s="12">
        <v>71</v>
      </c>
      <c r="B79" s="12"/>
      <c r="C79" s="14"/>
      <c r="D79" s="17"/>
      <c r="E79" s="16"/>
      <c r="F79" s="17"/>
      <c r="G79" s="18"/>
      <c r="H79" s="18"/>
      <c r="I79" s="20"/>
      <c r="J79" s="20"/>
      <c r="K79" s="20"/>
      <c r="L79" s="20"/>
    </row>
    <row r="80" spans="1:12">
      <c r="A80" s="12">
        <v>72</v>
      </c>
      <c r="B80" s="12"/>
      <c r="C80" s="21"/>
      <c r="D80" s="17"/>
      <c r="E80" s="16"/>
      <c r="F80" s="17"/>
      <c r="G80" s="18"/>
      <c r="H80" s="18"/>
      <c r="I80" s="20"/>
      <c r="J80" s="20"/>
      <c r="K80" s="20"/>
      <c r="L80" s="20"/>
    </row>
    <row r="81" spans="1:12">
      <c r="A81" s="12">
        <v>73</v>
      </c>
      <c r="B81" s="12"/>
      <c r="C81" s="21"/>
      <c r="D81" s="17"/>
      <c r="E81" s="16"/>
      <c r="F81" s="17"/>
      <c r="G81" s="18"/>
      <c r="H81" s="18"/>
      <c r="I81" s="20"/>
      <c r="J81" s="20"/>
      <c r="K81" s="20"/>
      <c r="L81" s="20"/>
    </row>
    <row r="82" spans="1:12">
      <c r="A82" s="12">
        <v>74</v>
      </c>
      <c r="B82" s="12"/>
      <c r="C82" s="21"/>
      <c r="D82" s="17"/>
      <c r="E82" s="16"/>
      <c r="F82" s="17"/>
      <c r="G82" s="18"/>
      <c r="H82" s="18"/>
      <c r="I82" s="20"/>
      <c r="J82" s="20"/>
      <c r="K82" s="20"/>
      <c r="L82" s="20"/>
    </row>
    <row r="83" spans="1:12">
      <c r="A83" s="12">
        <v>75</v>
      </c>
      <c r="B83" s="12"/>
      <c r="C83" s="21"/>
      <c r="D83" s="17"/>
      <c r="E83" s="16"/>
      <c r="F83" s="17"/>
      <c r="G83" s="18"/>
      <c r="H83" s="18"/>
      <c r="I83" s="20"/>
      <c r="J83" s="20"/>
      <c r="K83" s="20"/>
      <c r="L83" s="20"/>
    </row>
    <row r="84" spans="1:12">
      <c r="A84" s="12">
        <v>76</v>
      </c>
      <c r="B84" s="12"/>
      <c r="C84" s="21"/>
      <c r="D84" s="17"/>
      <c r="E84" s="16"/>
      <c r="F84" s="17"/>
      <c r="G84" s="18"/>
      <c r="H84" s="18"/>
      <c r="I84" s="20"/>
      <c r="J84" s="20"/>
      <c r="K84" s="20"/>
      <c r="L84" s="20"/>
    </row>
    <row r="85" spans="1:12">
      <c r="A85" s="12">
        <v>66</v>
      </c>
      <c r="B85" s="12"/>
      <c r="C85" s="21"/>
      <c r="D85" s="17"/>
      <c r="E85" s="16"/>
      <c r="F85" s="17"/>
      <c r="G85" s="18"/>
      <c r="H85" s="18"/>
      <c r="I85" s="20"/>
      <c r="J85" s="20"/>
      <c r="K85" s="20"/>
      <c r="L85" s="20"/>
    </row>
    <row r="86" spans="1:12">
      <c r="A86" s="12">
        <v>78</v>
      </c>
      <c r="B86" s="12"/>
      <c r="C86" s="21"/>
      <c r="D86" s="17"/>
      <c r="E86" s="16"/>
      <c r="F86" s="17"/>
      <c r="G86" s="18"/>
      <c r="H86" s="18"/>
      <c r="I86" s="20"/>
      <c r="J86" s="20"/>
      <c r="K86" s="20"/>
      <c r="L86" s="20"/>
    </row>
    <row r="87" spans="1:12">
      <c r="A87" s="12">
        <v>79</v>
      </c>
      <c r="B87" s="12"/>
      <c r="C87" s="21"/>
      <c r="D87" s="17"/>
      <c r="E87" s="16"/>
      <c r="F87" s="17"/>
      <c r="G87" s="18"/>
      <c r="H87" s="18"/>
      <c r="I87" s="20"/>
      <c r="J87" s="20"/>
      <c r="K87" s="20"/>
      <c r="L87" s="20"/>
    </row>
    <row r="88" spans="1:12">
      <c r="A88" s="12">
        <v>80</v>
      </c>
      <c r="B88" s="12"/>
      <c r="C88" s="14"/>
      <c r="D88" s="17"/>
      <c r="E88" s="16"/>
      <c r="F88" s="17"/>
      <c r="G88" s="18"/>
      <c r="H88" s="18"/>
      <c r="I88" s="20"/>
      <c r="J88" s="20"/>
      <c r="K88" s="20"/>
      <c r="L88" s="20"/>
    </row>
    <row r="89" spans="1:12">
      <c r="A89" s="12">
        <v>81</v>
      </c>
      <c r="B89" s="12"/>
      <c r="C89" s="21"/>
      <c r="D89" s="17"/>
      <c r="E89" s="16"/>
      <c r="F89" s="17"/>
      <c r="G89" s="18"/>
      <c r="H89" s="18"/>
      <c r="I89" s="20"/>
      <c r="J89" s="20"/>
      <c r="K89" s="20"/>
      <c r="L89" s="20"/>
    </row>
    <row r="90" spans="1:12">
      <c r="A90" s="12">
        <v>82</v>
      </c>
      <c r="B90" s="12"/>
      <c r="C90" s="21"/>
      <c r="D90" s="17"/>
      <c r="E90" s="16"/>
      <c r="F90" s="17"/>
      <c r="G90" s="18"/>
      <c r="H90" s="18"/>
      <c r="I90" s="20"/>
      <c r="J90" s="20"/>
      <c r="K90" s="20"/>
      <c r="L90" s="20"/>
    </row>
    <row r="91" spans="1:12">
      <c r="A91" s="12">
        <v>83</v>
      </c>
      <c r="B91" s="12"/>
      <c r="C91" s="21"/>
      <c r="D91" s="17"/>
      <c r="E91" s="16"/>
      <c r="F91" s="17"/>
      <c r="G91" s="18"/>
      <c r="H91" s="18"/>
      <c r="I91" s="20"/>
      <c r="J91" s="20"/>
      <c r="K91" s="20"/>
      <c r="L91" s="20"/>
    </row>
    <row r="92" spans="1:12">
      <c r="A92" s="12">
        <v>84</v>
      </c>
      <c r="B92" s="12"/>
      <c r="C92" s="21"/>
      <c r="D92" s="17"/>
      <c r="E92" s="16"/>
      <c r="F92" s="17"/>
      <c r="G92" s="18"/>
      <c r="H92" s="18"/>
      <c r="I92" s="20"/>
      <c r="J92" s="20"/>
      <c r="K92" s="20"/>
      <c r="L92" s="20"/>
    </row>
    <row r="93" spans="1:12">
      <c r="A93" s="12">
        <v>85</v>
      </c>
      <c r="B93" s="12"/>
      <c r="C93" s="21"/>
      <c r="D93" s="17"/>
      <c r="E93" s="16"/>
      <c r="F93" s="17"/>
      <c r="G93" s="18"/>
      <c r="H93" s="18"/>
      <c r="I93" s="20"/>
      <c r="J93" s="20"/>
      <c r="K93" s="20"/>
      <c r="L93" s="20"/>
    </row>
    <row r="94" spans="1:12">
      <c r="A94" s="12">
        <v>86</v>
      </c>
      <c r="B94" s="12"/>
      <c r="C94" s="21"/>
      <c r="D94" s="17"/>
      <c r="E94" s="16"/>
      <c r="F94" s="17"/>
      <c r="G94" s="18"/>
      <c r="H94" s="18"/>
      <c r="I94" s="20"/>
      <c r="J94" s="20"/>
      <c r="K94" s="20"/>
      <c r="L94" s="20"/>
    </row>
    <row r="95" spans="1:12">
      <c r="A95" s="12">
        <v>87</v>
      </c>
      <c r="B95" s="13"/>
      <c r="C95" s="14"/>
      <c r="D95" s="15"/>
      <c r="E95" s="16"/>
      <c r="F95" s="17"/>
      <c r="G95" s="18"/>
      <c r="H95" s="18"/>
      <c r="I95" s="20"/>
      <c r="J95" s="20"/>
      <c r="K95" s="20"/>
      <c r="L95" s="20"/>
    </row>
    <row r="96" spans="1:12">
      <c r="A96" s="12">
        <v>88</v>
      </c>
      <c r="B96" s="12"/>
      <c r="C96" s="21"/>
      <c r="D96" s="17"/>
      <c r="E96" s="16"/>
      <c r="F96" s="17"/>
      <c r="G96" s="18"/>
      <c r="H96" s="18"/>
      <c r="I96" s="20"/>
      <c r="J96" s="20"/>
      <c r="K96" s="20"/>
      <c r="L96" s="20"/>
    </row>
    <row r="97" spans="1:12">
      <c r="A97" s="12">
        <v>89</v>
      </c>
      <c r="B97" s="12"/>
      <c r="C97" s="21"/>
      <c r="D97" s="17"/>
      <c r="E97" s="16"/>
      <c r="F97" s="17"/>
      <c r="G97" s="18"/>
      <c r="H97" s="18"/>
      <c r="I97" s="20"/>
      <c r="J97" s="20"/>
      <c r="K97" s="20"/>
      <c r="L97" s="20"/>
    </row>
    <row r="98" spans="1:12">
      <c r="A98" s="12">
        <v>90</v>
      </c>
      <c r="B98" s="12"/>
      <c r="C98" s="21"/>
      <c r="D98" s="17"/>
      <c r="E98" s="16"/>
      <c r="F98" s="17"/>
      <c r="G98" s="18"/>
      <c r="H98" s="18"/>
      <c r="I98" s="20"/>
      <c r="J98" s="20"/>
      <c r="K98" s="20"/>
      <c r="L98" s="20"/>
    </row>
    <row r="99" spans="1:12">
      <c r="A99" s="12">
        <v>91</v>
      </c>
      <c r="B99" s="12"/>
      <c r="C99" s="21"/>
      <c r="D99" s="17"/>
      <c r="E99" s="16"/>
      <c r="F99" s="17"/>
      <c r="G99" s="18"/>
      <c r="H99" s="18"/>
      <c r="I99" s="20"/>
      <c r="J99" s="20"/>
      <c r="K99" s="20"/>
      <c r="L99" s="20"/>
    </row>
    <row r="100" spans="1:12">
      <c r="A100" s="12">
        <v>92</v>
      </c>
      <c r="B100" s="12"/>
      <c r="C100" s="21"/>
      <c r="D100" s="17"/>
      <c r="E100" s="16"/>
      <c r="F100" s="17"/>
      <c r="G100" s="18"/>
      <c r="H100" s="18"/>
      <c r="I100" s="20"/>
      <c r="J100" s="20"/>
      <c r="K100" s="20"/>
      <c r="L100" s="20"/>
    </row>
    <row r="101" spans="1:12">
      <c r="A101" s="12">
        <v>93</v>
      </c>
      <c r="B101" s="12"/>
      <c r="C101" s="14"/>
      <c r="D101" s="15"/>
      <c r="E101" s="16"/>
      <c r="F101" s="17"/>
      <c r="G101" s="18"/>
      <c r="H101" s="18"/>
      <c r="I101" s="20"/>
      <c r="J101" s="20"/>
      <c r="K101" s="20"/>
      <c r="L101" s="20"/>
    </row>
    <row r="102" spans="1:12">
      <c r="A102" s="12">
        <v>94</v>
      </c>
      <c r="B102" s="12"/>
      <c r="C102" s="21"/>
      <c r="D102" s="17"/>
      <c r="E102" s="16"/>
      <c r="F102" s="17"/>
      <c r="G102" s="18"/>
      <c r="H102" s="18"/>
      <c r="I102" s="20"/>
      <c r="J102" s="20"/>
      <c r="K102" s="20"/>
      <c r="L102" s="20"/>
    </row>
    <row r="103" spans="1:12">
      <c r="A103" s="12">
        <v>95</v>
      </c>
      <c r="B103" s="12"/>
      <c r="C103" s="21"/>
      <c r="D103" s="17"/>
      <c r="E103" s="16"/>
      <c r="F103" s="17"/>
      <c r="G103" s="18"/>
      <c r="H103" s="18"/>
      <c r="I103" s="20"/>
      <c r="J103" s="20"/>
      <c r="K103" s="20"/>
      <c r="L103" s="20"/>
    </row>
    <row r="104" spans="1:12">
      <c r="A104" s="12">
        <v>96</v>
      </c>
      <c r="B104" s="12"/>
      <c r="C104" s="21"/>
      <c r="D104" s="17"/>
      <c r="E104" s="16"/>
      <c r="F104" s="17"/>
      <c r="G104" s="18"/>
      <c r="H104" s="18"/>
      <c r="I104" s="20"/>
      <c r="J104" s="20"/>
      <c r="K104" s="20"/>
      <c r="L104" s="20"/>
    </row>
    <row r="105" spans="1:12">
      <c r="A105" s="12">
        <v>96</v>
      </c>
      <c r="B105" s="12"/>
      <c r="C105" s="21"/>
      <c r="D105" s="17"/>
      <c r="E105" s="16"/>
      <c r="F105" s="17"/>
      <c r="G105" s="18"/>
      <c r="H105" s="18"/>
      <c r="I105" s="20"/>
      <c r="J105" s="20"/>
      <c r="K105" s="20"/>
      <c r="L105" s="20"/>
    </row>
    <row r="106" spans="1:12">
      <c r="A106" s="12">
        <v>97</v>
      </c>
      <c r="B106" s="12"/>
      <c r="C106" s="21"/>
      <c r="D106" s="17"/>
      <c r="E106" s="16"/>
      <c r="F106" s="17"/>
      <c r="G106" s="18"/>
      <c r="H106" s="18"/>
      <c r="I106" s="20"/>
      <c r="J106" s="20"/>
      <c r="K106" s="20"/>
      <c r="L106" s="20"/>
    </row>
    <row r="107" spans="1:12">
      <c r="A107" s="12">
        <v>98</v>
      </c>
      <c r="B107" s="12"/>
      <c r="C107" s="21"/>
      <c r="D107" s="17"/>
      <c r="E107" s="16"/>
      <c r="F107" s="17"/>
      <c r="G107" s="18"/>
      <c r="H107" s="18"/>
      <c r="I107" s="20"/>
      <c r="J107" s="20"/>
      <c r="K107" s="20"/>
      <c r="L107" s="20"/>
    </row>
    <row r="108" spans="1:12">
      <c r="A108" s="12">
        <v>99</v>
      </c>
      <c r="B108" s="12"/>
      <c r="C108" s="21"/>
      <c r="D108" s="17"/>
      <c r="E108" s="16"/>
      <c r="F108" s="17"/>
      <c r="G108" s="18"/>
      <c r="H108" s="18"/>
      <c r="I108" s="20"/>
      <c r="J108" s="20"/>
      <c r="K108" s="20"/>
      <c r="L108" s="20"/>
    </row>
    <row r="109" spans="1:12">
      <c r="A109" s="12">
        <v>100</v>
      </c>
      <c r="B109" s="12"/>
      <c r="C109" s="21"/>
      <c r="D109" s="17"/>
      <c r="E109" s="16"/>
      <c r="F109" s="17"/>
      <c r="G109" s="18"/>
      <c r="H109" s="18"/>
      <c r="I109" s="20"/>
      <c r="J109" s="20"/>
      <c r="K109" s="20"/>
      <c r="L109" s="20"/>
    </row>
    <row r="110" spans="1:12">
      <c r="A110" s="12">
        <v>101</v>
      </c>
      <c r="B110" s="12"/>
      <c r="C110" s="21"/>
      <c r="D110" s="17"/>
      <c r="E110" s="16"/>
      <c r="F110" s="17"/>
      <c r="G110" s="18"/>
      <c r="H110" s="18"/>
      <c r="I110" s="20"/>
      <c r="J110" s="20"/>
      <c r="K110" s="20"/>
      <c r="L110" s="20"/>
    </row>
    <row r="111" spans="1:12">
      <c r="A111" s="12">
        <v>102</v>
      </c>
      <c r="B111" s="12"/>
      <c r="C111" s="21"/>
      <c r="D111" s="17"/>
      <c r="E111" s="16"/>
      <c r="F111" s="17"/>
      <c r="G111" s="18"/>
      <c r="H111" s="18"/>
      <c r="I111" s="20"/>
      <c r="J111" s="20"/>
      <c r="K111" s="20"/>
      <c r="L111" s="20"/>
    </row>
    <row r="112" spans="1:12">
      <c r="A112" s="12">
        <v>103</v>
      </c>
      <c r="B112" s="12"/>
      <c r="C112" s="21"/>
      <c r="D112" s="17"/>
      <c r="E112" s="16"/>
      <c r="F112" s="17"/>
      <c r="G112" s="18"/>
      <c r="H112" s="18"/>
      <c r="I112" s="20"/>
      <c r="J112" s="20"/>
      <c r="K112" s="20"/>
      <c r="L112" s="20"/>
    </row>
    <row r="113" spans="1:12">
      <c r="A113" s="12">
        <v>104</v>
      </c>
      <c r="B113" s="13"/>
      <c r="C113" s="14"/>
      <c r="D113" s="15"/>
      <c r="E113" s="16"/>
      <c r="F113" s="17"/>
      <c r="G113" s="18"/>
      <c r="H113" s="18"/>
      <c r="I113" s="20"/>
      <c r="J113" s="20"/>
      <c r="K113" s="20"/>
      <c r="L113" s="20"/>
    </row>
    <row r="114" spans="1:12">
      <c r="A114" s="12">
        <v>105</v>
      </c>
      <c r="B114" s="12"/>
      <c r="C114" s="21"/>
      <c r="D114" s="17"/>
      <c r="E114" s="16"/>
      <c r="F114" s="17"/>
      <c r="G114" s="18"/>
      <c r="H114" s="18"/>
      <c r="I114" s="20"/>
      <c r="J114" s="20"/>
      <c r="K114" s="20"/>
      <c r="L114" s="20"/>
    </row>
    <row r="115" spans="1:12">
      <c r="A115" s="12">
        <v>106</v>
      </c>
      <c r="B115" s="13"/>
      <c r="C115" s="14"/>
      <c r="D115" s="15"/>
      <c r="E115" s="16"/>
      <c r="F115" s="17"/>
      <c r="G115" s="18"/>
      <c r="H115" s="18"/>
      <c r="I115" s="20"/>
      <c r="J115" s="20"/>
      <c r="K115" s="20"/>
      <c r="L115" s="20"/>
    </row>
    <row r="116" spans="1:12">
      <c r="A116" s="12">
        <v>107</v>
      </c>
      <c r="B116" s="12"/>
      <c r="C116" s="21"/>
      <c r="D116" s="17"/>
      <c r="E116" s="16"/>
      <c r="F116" s="17"/>
      <c r="G116" s="18"/>
      <c r="H116" s="18"/>
      <c r="I116" s="20"/>
      <c r="J116" s="20"/>
      <c r="K116" s="20"/>
      <c r="L116" s="20"/>
    </row>
    <row r="117" spans="1:12">
      <c r="A117" s="12">
        <v>108</v>
      </c>
      <c r="B117" s="12"/>
      <c r="C117" s="21"/>
      <c r="D117" s="17"/>
      <c r="E117" s="16"/>
      <c r="F117" s="17"/>
      <c r="G117" s="18"/>
      <c r="H117" s="18"/>
      <c r="I117" s="20"/>
      <c r="J117" s="20"/>
      <c r="K117" s="20"/>
      <c r="L117" s="20"/>
    </row>
    <row r="118" spans="1:12">
      <c r="A118" s="12">
        <v>119</v>
      </c>
      <c r="B118" s="12"/>
      <c r="C118" s="14"/>
      <c r="D118" s="17"/>
      <c r="E118" s="16"/>
      <c r="F118" s="17"/>
      <c r="G118" s="18"/>
      <c r="H118" s="18"/>
      <c r="I118" s="20"/>
      <c r="J118" s="20"/>
      <c r="K118" s="20"/>
      <c r="L118" s="20"/>
    </row>
    <row r="119" spans="1:12">
      <c r="A119" s="12">
        <v>110</v>
      </c>
      <c r="B119" s="12"/>
      <c r="C119" s="21"/>
      <c r="D119" s="17"/>
      <c r="E119" s="16"/>
      <c r="F119" s="17"/>
      <c r="G119" s="18"/>
      <c r="H119" s="18"/>
      <c r="I119" s="20"/>
      <c r="J119" s="20"/>
      <c r="K119" s="20"/>
      <c r="L119" s="20"/>
    </row>
    <row r="120" spans="1:12">
      <c r="A120" s="12">
        <v>111</v>
      </c>
      <c r="B120" s="12"/>
      <c r="C120" s="21"/>
      <c r="D120" s="17"/>
      <c r="E120" s="16"/>
      <c r="F120" s="17"/>
      <c r="G120" s="18"/>
      <c r="H120" s="18"/>
      <c r="I120" s="20"/>
      <c r="J120" s="20"/>
      <c r="K120" s="20"/>
      <c r="L120" s="20"/>
    </row>
    <row r="124" spans="1:12">
      <c r="B124" s="24" t="s">
        <v>1</v>
      </c>
      <c r="C124" s="25" cm="1">
        <f t="array" ref="C124">SUMPRODUCT(
  (LEN("," &amp; SUBSTITUTE(TRIM(SUBSTITUTE(E9:E100," ","")),",",",") &amp; ",") -
   LEN(SUBSTITUTE("," &amp; SUBSTITUTE(TRIM(SUBSTITUTE(E9:E100," ","")),",",",") &amp; ",", ",1,", ""))
  ) / LEN(",1,")
)</f>
        <v>0</v>
      </c>
      <c r="D124" s="20"/>
      <c r="E124" s="20"/>
      <c r="F124" s="26" t="s">
        <v>9</v>
      </c>
      <c r="G124" s="29" cm="1">
        <f t="array" ref="G124">SUMPRODUCT(
  (LEN("," &amp; SUBSTITUTE(TRIM(SUBSTITUTE(E9:E100," ","")),",",",") &amp; ",") -
   LEN(SUBSTITUTE("," &amp; SUBSTITUTE(TRIM(SUBSTITUTE(E9:E100," ","")),",",",") &amp; ",", ",4i,", ""))
  ) / LEN(",4i,")
)</f>
        <v>0</v>
      </c>
    </row>
    <row r="125" spans="1:12">
      <c r="B125" s="20" t="s">
        <v>33</v>
      </c>
      <c r="C125" s="27" cm="1">
        <f t="array" ref="C125">SUMPRODUCT(
  (--(TRIM(F9:F100)="evaluation")) *
  (
    (LEN("," &amp; SUBSTITUTE(TRIM(SUBSTITUTE(E9:E100," ","")),",",",") &amp; ",") -
     LEN(SUBSTITUTE("," &amp; SUBSTITUTE(TRIM(SUBSTITUTE(E9:E100," ","")),",",",") &amp; ",", ",1,", ""))
    ) / LEN(",1,")
  )
)</f>
        <v>0</v>
      </c>
      <c r="D125" s="20"/>
      <c r="E125" s="20"/>
      <c r="F125" s="20" t="s">
        <v>33</v>
      </c>
      <c r="G125" s="27" cm="1">
        <f t="array" ref="G125">SUMPRODUCT(
  (--(TRIM(F9:F100)="evaluation"))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6" spans="1:12">
      <c r="B126" s="20" t="s">
        <v>34</v>
      </c>
      <c r="C126" s="27" cm="1">
        <f t="array" ref="C126">SUMPRODUCT(
  (--(TRIM(F9:F100)="scholarship")) *
  (
    (LEN("," &amp; SUBSTITUTE(TRIM(SUBSTITUTE(E9:E100," ","")),",",",") &amp; ",") -
     LEN(SUBSTITUTE("," &amp; SUBSTITUTE(TRIM(SUBSTITUTE(E9:E100," ","")),",",",") &amp; ",", ",1,", ""))
    ) / LEN(",1,")
  )
)</f>
        <v>0</v>
      </c>
      <c r="D126" s="20"/>
      <c r="E126" s="20"/>
      <c r="F126" s="20" t="s">
        <v>34</v>
      </c>
      <c r="G126" s="27" cm="1">
        <f t="array" ref="G126">SUMPRODUCT(
  (--(TRIM(F9:F100)="scholarship"))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7" spans="1:12">
      <c r="B127" s="20" t="s">
        <v>35</v>
      </c>
      <c r="C127" s="27" cm="1">
        <f t="array" ref="C127">SUMPRODUCT(
  (--(TRIM(F9:F100)="passport")) *
  (
    (LEN("," &amp; SUBSTITUTE(TRIM(SUBSTITUTE(E9:E100," ","")),",",",") &amp; ",") -
     LEN(SUBSTITUTE("," &amp; SUBSTITUTE(TRIM(SUBSTITUTE(E9:E100," ","")),",",",") &amp; ",", ",1,", ""))
    ) / LEN(",1,")
  )
)</f>
        <v>0</v>
      </c>
      <c r="D127" s="20"/>
      <c r="E127" s="20"/>
      <c r="F127" s="20" t="s">
        <v>35</v>
      </c>
      <c r="G127" s="27" cm="1">
        <f t="array" ref="G127">SUMPRODUCT(
  (--(TRIM(F9:F100)="passport"))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8" spans="1:12">
      <c r="B128" s="20" t="s">
        <v>36</v>
      </c>
      <c r="C128" s="27" cm="1">
        <f t="array" ref="C128">SUMPRODUCT(
  (--(TRIM(F9:F100)="board exam")) *
  (
    (LEN("," &amp; SUBSTITUTE(TRIM(SUBSTITUTE(E9:E100," ","")),",",",") &amp; ",") -
     LEN(SUBSTITUTE("," &amp; SUBSTITUTE(TRIM(SUBSTITUTE(E9:E100," ","")),",",",") &amp; ",", ",1,", ""))
    ) / LEN(",1,")
  )
)</f>
        <v>0</v>
      </c>
      <c r="D128" s="20"/>
      <c r="E128" s="20"/>
      <c r="F128" s="20" t="s">
        <v>36</v>
      </c>
      <c r="G128" s="27" cm="1">
        <f t="array" ref="G128">SUMPRODUCT(
  (--(TRIM(F9:F100)="board exam"))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29" spans="2:7">
      <c r="B129" s="20" t="s">
        <v>37</v>
      </c>
      <c r="C129" s="27" cm="1">
        <f t="array" ref="C129">SUMPRODUCT(
  (--(TRIM(F9:F100)="employment")) *
  (
    (LEN("," &amp; SUBSTITUTE(TRIM(SUBSTITUTE(E9:E100," ","")),",",",") &amp; ",") -
     LEN(SUBSTITUTE("," &amp; SUBSTITUTE(TRIM(SUBSTITUTE(E9:E100," ","")),",",",") &amp; ",", ",1,", ""))
    ) / LEN(",1,")
  )
)</f>
        <v>0</v>
      </c>
      <c r="D129" s="20"/>
      <c r="E129" s="20"/>
      <c r="F129" s="20" t="s">
        <v>37</v>
      </c>
      <c r="G129" s="27" cm="1">
        <f t="array" ref="G129">SUMPRODUCT(
  (--(TRIM(F9:F100)="employment"))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0" spans="2:7">
      <c r="B130" s="20" t="s">
        <v>38</v>
      </c>
      <c r="C130" s="27" cm="1">
        <f t="array" ref="C130">SUMPRODUCT(
  (--(TRIM(F9:F100)="personal file")) *
  (
    (LEN("," &amp; SUBSTITUTE(TRIM(SUBSTITUTE(E9:E100," ","")),",",",") &amp; ",") -
     LEN(SUBSTITUTE("," &amp; SUBSTITUTE(TRIM(SUBSTITUTE(E9:E100," ","")),",",",") &amp; ",", ",1,", ""))
    ) / LEN(",1,")
  )
)</f>
        <v>0</v>
      </c>
      <c r="D130" s="20"/>
      <c r="E130" s="20"/>
      <c r="F130" s="20" t="s">
        <v>38</v>
      </c>
      <c r="G130" s="27" cm="1">
        <f t="array" ref="G130">SUMPRODUCT(
  (--(TRIM(F9:F100)="personal file"))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1" spans="2:7">
      <c r="B131" s="20" t="s">
        <v>39</v>
      </c>
      <c r="C131" s="27" cm="1">
        <f t="array" ref="C131">SUMPRODUCT(
  (--(TRIM(F9:F100)="advanced studies")) *
  (
    (LEN("," &amp; SUBSTITUTE(TRIM(SUBSTITUTE(E9:E100," ","")),",",",") &amp; ",") -
     LEN(SUBSTITUTE("," &amp; SUBSTITUTE(TRIM(SUBSTITUTE(E9:E100," ","")),",",",") &amp; ",", ",1,", ""))
    ) / LEN(",1,")
  )
)</f>
        <v>0</v>
      </c>
      <c r="D131" s="20"/>
      <c r="E131" s="20"/>
      <c r="F131" s="20" t="s">
        <v>39</v>
      </c>
      <c r="G131" s="27" cm="1">
        <f t="array" ref="G131">SUMPRODUCT(
  (--(TRIM(F9:F100)="advanced studies"))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2" spans="2:7">
      <c r="B132" s="20" t="s">
        <v>40</v>
      </c>
      <c r="C132" s="27" cm="1">
        <f t="array" ref="C132">SUMPRODUCT(
  (--(TRIM(F9:F100)="ranking")) *
  (
    (LEN("," &amp; SUBSTITUTE(TRIM(SUBSTITUTE(E9:E100," ","")),",",",") &amp; ",") -
     LEN(SUBSTITUTE("," &amp; SUBSTITUTE(TRIM(SUBSTITUTE(E9:E100," ","")),",",",") &amp; ",", ",1,", ""))
    ) / LEN(",1,")
  )
)</f>
        <v>0</v>
      </c>
      <c r="D132" s="20"/>
      <c r="E132" s="20"/>
      <c r="F132" s="20" t="s">
        <v>40</v>
      </c>
      <c r="G132" s="27" cm="1">
        <f t="array" ref="G132">SUMPRODUCT(
  (--(TRIM(F9:F100)="ranking")) *
  (
    (LEN("," &amp; SUBSTITUTE(TRIM(SUBSTITUTE(E9:E100," ","")),",",",") &amp; ",") -
     LEN(SUBSTITUTE("," &amp; SUBSTITUTE(TRIM(SUBSTITUTE(E9:E100," ","")),",",",") &amp; ",", ",4i,", ""))
    ) / LEN(",4i,")
  )
)</f>
        <v>0</v>
      </c>
    </row>
    <row r="133" spans="2:7">
      <c r="B133" s="20" t="s">
        <v>49</v>
      </c>
      <c r="C133" s="20" cm="1">
        <f t="array" ref="C133">SUMPRODUCT(
  (--(TRIM(F9:F100)="tor-granted")) *
  (
    (LEN("," &amp; SUBSTITUTE(TRIM(SUBSTITUTE(E9:E100," ","")),",",",") &amp; ",") -
     LEN(SUBSTITUTE("," &amp; SUBSTITUTE(TRIM(SUBSTITUTE(E9:E100," ","")),",",",") &amp; ",", ",1,", ""))
    ) / LEN(",1,")
  )
)</f>
        <v>0</v>
      </c>
      <c r="D133" s="20"/>
      <c r="E133" s="20"/>
      <c r="F133" s="20" t="s">
        <v>41</v>
      </c>
      <c r="G133" s="20">
        <f>(G124)- SUM(G125:G132)</f>
        <v>0</v>
      </c>
    </row>
    <row r="134" spans="2:7">
      <c r="B134" s="20" t="s">
        <v>41</v>
      </c>
      <c r="C134" s="27">
        <f>(C124)- SUM(C125:C133)</f>
        <v>0</v>
      </c>
      <c r="D134" s="20"/>
      <c r="E134" s="20"/>
      <c r="F134" s="20"/>
      <c r="G134" s="20"/>
    </row>
    <row r="135" spans="2:7">
      <c r="B135" s="24" t="s">
        <v>2</v>
      </c>
      <c r="C135" s="25" cm="1">
        <f t="array" ref="C135">SUMPRODUCT(
  (LEN("," &amp; SUBSTITUTE(TRIM(SUBSTITUTE(E9:E100," ","")),",",",") &amp; ",") -
   LEN(SUBSTITUTE("," &amp; SUBSTITUTE(TRIM(SUBSTITUTE(E9:E100," ","")),",",",") &amp; ",", ",2,", ""))
  ) / LEN(",2,")
)</f>
        <v>0</v>
      </c>
      <c r="D135" s="20"/>
      <c r="E135" s="20"/>
      <c r="F135" s="28" t="s">
        <v>14</v>
      </c>
      <c r="G135" s="29" cm="1">
        <f t="array" ref="G135">SUMPRODUCT(
  (LEN("," &amp; SUBSTITUTE(TRIM(SUBSTITUTE(E9:E100," ","")),",",",") &amp; ",") -
   LEN(SUBSTITUTE("," &amp; SUBSTITUTE(TRIM(SUBSTITUTE(E9:E100," ","")),",",",") &amp; ",", ",4j,", ""))
  ) / LEN(",4j,")
)</f>
        <v>0</v>
      </c>
    </row>
    <row r="136" spans="2:7">
      <c r="B136" s="20" t="s">
        <v>33</v>
      </c>
      <c r="C136" s="20" cm="1">
        <f t="array" ref="C136">SUMPRODUCT(
  (--(TRIM(F9:F100)="evaluation")) *
  (
    (LEN("," &amp; SUBSTITUTE(TRIM(SUBSTITUTE(E9:E100," ","")),",",",") &amp; ",") -
     LEN(SUBSTITUTE("," &amp; SUBSTITUTE(TRIM(SUBSTITUTE(E9:E100," ","")),",",",") &amp; ",", ",2,", ""))
    ) / LEN(",2,")
  )
)</f>
        <v>0</v>
      </c>
      <c r="D136" s="20"/>
      <c r="E136" s="20"/>
      <c r="F136" s="20" t="s">
        <v>33</v>
      </c>
      <c r="G136" s="27" cm="1">
        <f t="array" ref="G136">SUMPRODUCT(
  (--(TRIM(F9:F100)="evaluation"))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7" spans="2:7">
      <c r="B137" s="20" t="s">
        <v>34</v>
      </c>
      <c r="C137" s="27" cm="1">
        <f t="array" ref="C137">SUMPRODUCT(
  (--(TRIM(F9:F100)="scholarship")) *
  (
    (LEN("," &amp; SUBSTITUTE(TRIM(SUBSTITUTE(E9:E100," ","")),",",",") &amp; ",") -
     LEN(SUBSTITUTE("," &amp; SUBSTITUTE(TRIM(SUBSTITUTE(E9:E100," ","")),",",",") &amp; ",", ",2,", ""))
    ) / LEN(",2,")
  )
)</f>
        <v>0</v>
      </c>
      <c r="D137" s="20"/>
      <c r="E137" s="20"/>
      <c r="F137" s="20" t="s">
        <v>34</v>
      </c>
      <c r="G137" s="27" cm="1">
        <f t="array" ref="G137">SUMPRODUCT(
  (--(TRIM(F9:F100)="scholarship"))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8" spans="2:7">
      <c r="B138" s="20" t="s">
        <v>35</v>
      </c>
      <c r="C138" s="27" cm="1">
        <f t="array" ref="C138">SUMPRODUCT(
  (--(TRIM(F9:F100)="passport")) *
  (
    (LEN("," &amp; SUBSTITUTE(TRIM(SUBSTITUTE(E9:E100," ","")),",",",") &amp; ",") -
     LEN(SUBSTITUTE("," &amp; SUBSTITUTE(TRIM(SUBSTITUTE(E9:E100," ","")),",",",") &amp; ",", ",2,", ""))
    ) / LEN(",2,")
  )
)</f>
        <v>0</v>
      </c>
      <c r="D138" s="20"/>
      <c r="E138" s="20"/>
      <c r="F138" s="20" t="s">
        <v>35</v>
      </c>
      <c r="G138" s="27" cm="1">
        <f t="array" ref="G138">SUMPRODUCT(
  (--(TRIM(F9:F100)="passport"))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39" spans="2:7">
      <c r="B139" s="20" t="s">
        <v>36</v>
      </c>
      <c r="C139" s="27" cm="1">
        <f t="array" ref="C139">SUMPRODUCT(
  (--(TRIM(F9:F100)="board exam")) *
  (
    (LEN("," &amp; SUBSTITUTE(TRIM(SUBSTITUTE(E9:E100," ","")),",",",") &amp; ",") -
     LEN(SUBSTITUTE("," &amp; SUBSTITUTE(TRIM(SUBSTITUTE(E9:E100," ","")),",",",") &amp; ",", ",2,", ""))
    ) / LEN(",2,")
  )
)</f>
        <v>0</v>
      </c>
      <c r="D139" s="20"/>
      <c r="E139" s="20"/>
      <c r="F139" s="20" t="s">
        <v>36</v>
      </c>
      <c r="G139" s="27" cm="1">
        <f t="array" ref="G139">SUMPRODUCT(
  (--(TRIM(F9:F100)="board exam"))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0" spans="2:7">
      <c r="B140" s="20" t="s">
        <v>37</v>
      </c>
      <c r="C140" s="27" cm="1">
        <f t="array" ref="C140">SUMPRODUCT(
  (--(TRIM(F9:F100)="employment")) *
  (
    (LEN("," &amp; SUBSTITUTE(TRIM(SUBSTITUTE(E9:E100," ","")),",",",") &amp; ",") -
     LEN(SUBSTITUTE("," &amp; SUBSTITUTE(TRIM(SUBSTITUTE(E9:E100," ","")),",",",") &amp; ",", ",2,", ""))
    ) / LEN(",2,")
  )
)</f>
        <v>0</v>
      </c>
      <c r="D140" s="20"/>
      <c r="E140" s="20"/>
      <c r="F140" s="20" t="s">
        <v>37</v>
      </c>
      <c r="G140" s="27" cm="1">
        <f t="array" ref="G140">SUMPRODUCT(
  (--(TRIM(F9:F100)="employment"))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1" spans="2:7">
      <c r="B141" s="20" t="s">
        <v>38</v>
      </c>
      <c r="C141" s="27" cm="1">
        <f t="array" ref="C141">SUMPRODUCT(
  (--(TRIM(F9:F100)="personal file")) *
  (
    (LEN("," &amp; SUBSTITUTE(TRIM(SUBSTITUTE(E9:E100," ","")),",",",") &amp; ",") -
     LEN(SUBSTITUTE("," &amp; SUBSTITUTE(TRIM(SUBSTITUTE(E9:E100," ","")),",",",") &amp; ",", ",2,", ""))
    ) / LEN(",2,")
  )
)</f>
        <v>0</v>
      </c>
      <c r="D141" s="20"/>
      <c r="E141" s="20"/>
      <c r="F141" s="20" t="s">
        <v>38</v>
      </c>
      <c r="G141" s="27" cm="1">
        <f t="array" ref="G141">SUMPRODUCT(
  (--(TRIM(F9:F100)="personal file"))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2" spans="2:7">
      <c r="B142" s="20" t="s">
        <v>39</v>
      </c>
      <c r="C142" s="27" cm="1">
        <f t="array" ref="C142">SUMPRODUCT(
  (--(TRIM(F9:F100)="advanced studies")) *
  (
    (LEN("," &amp; SUBSTITUTE(TRIM(SUBSTITUTE(E9:E100," ","")),",",",") &amp; ",") -
     LEN(SUBSTITUTE("," &amp; SUBSTITUTE(TRIM(SUBSTITUTE(E9:E100," ","")),",",",") &amp; ",", ",2,", ""))
    ) / LEN(",2,")
  )
)</f>
        <v>0</v>
      </c>
      <c r="D142" s="20"/>
      <c r="E142" s="20"/>
      <c r="F142" s="20" t="s">
        <v>39</v>
      </c>
      <c r="G142" s="27" cm="1">
        <f t="array" ref="G142">SUMPRODUCT(
  (--(TRIM(F9:F100)="advanced studies"))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3" spans="2:7">
      <c r="B143" s="20" t="s">
        <v>40</v>
      </c>
      <c r="C143" s="27" cm="1">
        <f t="array" ref="C143">SUMPRODUCT(
  (--(TRIM(F9:F100)="ranking")) *
  (
    (LEN("," &amp; SUBSTITUTE(TRIM(SUBSTITUTE(E9:E100," ","")),",",",") &amp; ",") -
     LEN(SUBSTITUTE("," &amp; SUBSTITUTE(TRIM(SUBSTITUTE(E9:E100," ","")),",",",") &amp; ",", ",2,", ""))
    ) / LEN(",2,")
  )
)</f>
        <v>0</v>
      </c>
      <c r="D143" s="20"/>
      <c r="E143" s="20"/>
      <c r="F143" s="20" t="s">
        <v>40</v>
      </c>
      <c r="G143" s="27" cm="1">
        <f t="array" ref="G143">SUMPRODUCT(
  (--(TRIM(F9:F100)="ranking")) *
  (
    (LEN("," &amp; SUBSTITUTE(TRIM(SUBSTITUTE(E9:E100," ","")),",",",") &amp; ",") -
     LEN(SUBSTITUTE("," &amp; SUBSTITUTE(TRIM(SUBSTITUTE(E9:E100," ","")),",",",") &amp; ",", ",4j,", ""))
    ) / LEN(",4j,")
  )
)</f>
        <v>0</v>
      </c>
    </row>
    <row r="144" spans="2:7">
      <c r="B144" s="20" t="s">
        <v>41</v>
      </c>
      <c r="C144" s="27">
        <f>(C135)- SUM(C136:C143)</f>
        <v>0</v>
      </c>
      <c r="D144" s="20"/>
      <c r="E144" s="20"/>
      <c r="F144" s="20" t="s">
        <v>41</v>
      </c>
      <c r="G144" s="20">
        <f>(G135)- SUM(G136:G143)</f>
        <v>0</v>
      </c>
    </row>
    <row r="145" spans="2:7">
      <c r="B145" s="12"/>
      <c r="C145" s="27"/>
      <c r="D145" s="17"/>
      <c r="E145" s="20"/>
      <c r="F145" s="16"/>
      <c r="G145" s="17"/>
    </row>
    <row r="146" spans="2:7">
      <c r="B146" s="30" t="s">
        <v>3</v>
      </c>
      <c r="C146" s="25" cm="1">
        <f t="array" ref="C146">SUMPRODUCT(
  (LEN("," &amp; SUBSTITUTE(TRIM(SUBSTITUTE(E9:E100," ","")),",",",") &amp; ",") -
   LEN(SUBSTITUTE("," &amp; SUBSTITUTE(TRIM(SUBSTITUTE(E9:E100," ","")),",",",") &amp; ",", ",3,", ""))
  ) / LEN(",3,")
)</f>
        <v>0</v>
      </c>
      <c r="D146" s="17"/>
      <c r="E146" s="20"/>
      <c r="F146" s="26" t="s">
        <v>19</v>
      </c>
      <c r="G146" s="25" cm="1">
        <f t="array" ref="G146">SUMPRODUCT(
  (LEN("," &amp; SUBSTITUTE(TRIM(SUBSTITUTE(E9:E100," ","")),",",",") &amp; ",") -
   LEN(SUBSTITUTE("," &amp; SUBSTITUTE(TRIM(SUBSTITUTE(E9:E100," ","")),",",",") &amp; ",", ",4k,", ""))
  ) / LEN(",4k,")
)</f>
        <v>0</v>
      </c>
    </row>
    <row r="147" spans="2:7">
      <c r="B147" s="20" t="s">
        <v>33</v>
      </c>
      <c r="C147" s="31" cm="1">
        <f t="array" ref="C147">SUMPRODUCT(
  (--(TRIM(F9:F100)="evaluation")) *
  (
    (LEN("," &amp; SUBSTITUTE(TRIM(SUBSTITUTE(E9:E100," ","")),",",",") &amp; ",") -
     LEN(SUBSTITUTE("," &amp; SUBSTITUTE(TRIM(SUBSTITUTE(E9:E100," ","")),",",",") &amp; ",", ",3,", ""))
    ) / LEN(",3,")
  )
)</f>
        <v>0</v>
      </c>
      <c r="D147" s="15"/>
      <c r="E147" s="20"/>
      <c r="F147" s="20" t="s">
        <v>33</v>
      </c>
      <c r="G147" s="27" cm="1">
        <f t="array" ref="G147">SUMPRODUCT(
  (--(TRIM(F9:F100)="evaluation"))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8" spans="2:7">
      <c r="B148" s="20" t="s">
        <v>34</v>
      </c>
      <c r="C148" s="27" cm="1">
        <f t="array" ref="C148">SUMPRODUCT(
  (--(TRIM(F9:F100)="scholarship")) *
  (
    (LEN("," &amp; SUBSTITUTE(TRIM(SUBSTITUTE(E9:E100," ","")),",",",") &amp; ",") -
     LEN(SUBSTITUTE("," &amp; SUBSTITUTE(TRIM(SUBSTITUTE(E9:E100," ","")),",",",") &amp; ",", ",3,", ""))
    ) / LEN(",3,")
  )
)</f>
        <v>0</v>
      </c>
      <c r="D148" s="17"/>
      <c r="E148" s="20"/>
      <c r="F148" s="20" t="s">
        <v>34</v>
      </c>
      <c r="G148" s="27" cm="1">
        <f t="array" ref="G148">SUMPRODUCT(
  (--(TRIM(F9:F100)="scholarship"))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49" spans="2:7">
      <c r="B149" s="20" t="s">
        <v>35</v>
      </c>
      <c r="C149" s="27" cm="1">
        <f t="array" ref="C149">SUMPRODUCT(
  (--(TRIM(F9:F100)="passport")) *
  (
    (LEN("," &amp; SUBSTITUTE(TRIM(SUBSTITUTE(E9:E100," ","")),",",",") &amp; ",") -
     LEN(SUBSTITUTE("," &amp; SUBSTITUTE(TRIM(SUBSTITUTE(E9:E100," ","")),",",",") &amp; ",", ",3,", ""))
    ) / LEN(",3,")
  )
)</f>
        <v>0</v>
      </c>
      <c r="D149" s="17"/>
      <c r="E149" s="20"/>
      <c r="F149" s="20" t="s">
        <v>35</v>
      </c>
      <c r="G149" s="27" cm="1">
        <f t="array" ref="G149">SUMPRODUCT(
  (--(TRIM(F9:F100)="passport"))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0" spans="2:7">
      <c r="B150" s="20" t="s">
        <v>36</v>
      </c>
      <c r="C150" s="31" cm="1">
        <f t="array" ref="C150">SUMPRODUCT(
  (--(TRIM(F9:F100)="board exam")) *
  (
    (LEN("," &amp; SUBSTITUTE(TRIM(SUBSTITUTE(E9:E100," ","")),",",",") &amp; ",") -
     LEN(SUBSTITUTE("," &amp; SUBSTITUTE(TRIM(SUBSTITUTE(E9:E100," ","")),",",",") &amp; ",", ",3,", ""))
    ) / LEN(",3,")
  )
)</f>
        <v>0</v>
      </c>
      <c r="D150" s="17"/>
      <c r="E150" s="20"/>
      <c r="F150" s="20" t="s">
        <v>36</v>
      </c>
      <c r="G150" s="27" cm="1">
        <f t="array" ref="G150">SUMPRODUCT(
  (--(TRIM(F9:F100)="board exam"))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1" spans="2:7">
      <c r="B151" s="20" t="s">
        <v>37</v>
      </c>
      <c r="C151" s="27" cm="1">
        <f t="array" ref="C151">SUMPRODUCT(
  (--(TRIM(F9:F100)="employment")) *
  (
    (LEN("," &amp; SUBSTITUTE(TRIM(SUBSTITUTE(E9:E100," ","")),",",",") &amp; ",") -
     LEN(SUBSTITUTE("," &amp; SUBSTITUTE(TRIM(SUBSTITUTE(E9:E100," ","")),",",",") &amp; ",", ",3,", ""))
    ) / LEN(",3,")
  )
)</f>
        <v>0</v>
      </c>
      <c r="D151" s="17"/>
      <c r="E151" s="20"/>
      <c r="F151" s="20" t="s">
        <v>37</v>
      </c>
      <c r="G151" s="27" cm="1">
        <f t="array" ref="G151">SUMPRODUCT(
  (--(TRIM(F9:F100)="employment"))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2" spans="2:7">
      <c r="B152" s="20" t="s">
        <v>38</v>
      </c>
      <c r="C152" s="27" cm="1">
        <f t="array" ref="C152">SUMPRODUCT(
  (--(TRIM(F9:F100)="personal file")) *
  (
    (LEN("," &amp; SUBSTITUTE(TRIM(SUBSTITUTE(E9:E100," ","")),",",",") &amp; ",") -
     LEN(SUBSTITUTE("," &amp; SUBSTITUTE(TRIM(SUBSTITUTE(E9:E100," ","")),",",",") &amp; ",", ",3,", ""))
    ) / LEN(",3,")
  )
)</f>
        <v>0</v>
      </c>
      <c r="D152" s="17"/>
      <c r="E152" s="20"/>
      <c r="F152" s="20" t="s">
        <v>38</v>
      </c>
      <c r="G152" s="27" cm="1">
        <f t="array" ref="G152">SUMPRODUCT(
  (--(TRIM(F9:F100)="personal file"))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3" spans="2:7">
      <c r="B153" s="20" t="s">
        <v>39</v>
      </c>
      <c r="C153" s="27" cm="1">
        <f t="array" ref="C153">SUMPRODUCT(
  (--(TRIM(F9:F100)="advanced studies")) *
  (
    (LEN("," &amp; SUBSTITUTE(TRIM(SUBSTITUTE(E9:E100," ","")),",",",") &amp; ",") -
     LEN(SUBSTITUTE("," &amp; SUBSTITUTE(TRIM(SUBSTITUTE(E9:E100," ","")),",",",") &amp; ",", ",3,", ""))
    ) / LEN(",3,")
  )
)</f>
        <v>0</v>
      </c>
      <c r="D153" s="17"/>
      <c r="E153" s="20"/>
      <c r="F153" s="20" t="s">
        <v>39</v>
      </c>
      <c r="G153" s="27" cm="1">
        <f t="array" ref="G153">SUMPRODUCT(
  (--(TRIM(F9:F100)="advanced studies"))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4" spans="2:7">
      <c r="B154" s="20" t="s">
        <v>40</v>
      </c>
      <c r="C154" s="31" cm="1">
        <f t="array" ref="C154">SUMPRODUCT(
  (--(TRIM(F9:F100)="ranking")) *
  (
    (LEN("," &amp; SUBSTITUTE(TRIM(SUBSTITUTE(E9:E100," ","")),",",",") &amp; ",") -
     LEN(SUBSTITUTE("," &amp; SUBSTITUTE(TRIM(SUBSTITUTE(E9:E100," ","")),",",",") &amp; ",", ",3,", ""))
    ) / LEN(",3,")
  )
)</f>
        <v>0</v>
      </c>
      <c r="D154" s="15"/>
      <c r="E154" s="20"/>
      <c r="F154" s="20" t="s">
        <v>40</v>
      </c>
      <c r="G154" s="27" cm="1">
        <f t="array" ref="G154">SUMPRODUCT(
  (--(TRIM(F9:F100)="ranking")) *
  (
    (LEN("," &amp; SUBSTITUTE(TRIM(SUBSTITUTE(E9:E100," ","")),",",",") &amp; ",") -
     LEN(SUBSTITUTE("," &amp; SUBSTITUTE(TRIM(SUBSTITUTE(E9:E100," ","")),",",",") &amp; ",", ",4k,", ""))
    ) / LEN(",4k,")
  )
)</f>
        <v>0</v>
      </c>
    </row>
    <row r="155" spans="2:7">
      <c r="B155" s="20" t="s">
        <v>41</v>
      </c>
      <c r="C155" s="27">
        <f>(C146)- SUM(C147:C154)</f>
        <v>0</v>
      </c>
      <c r="D155" s="17"/>
      <c r="E155" s="20"/>
      <c r="F155" s="20" t="s">
        <v>41</v>
      </c>
      <c r="G155" s="27">
        <f>(G146)- SUM(G147:G154)</f>
        <v>0</v>
      </c>
    </row>
    <row r="156" spans="2:7">
      <c r="B156" s="12"/>
      <c r="C156" s="27"/>
      <c r="D156" s="17"/>
      <c r="E156" s="20"/>
      <c r="F156" s="16"/>
      <c r="G156" s="27"/>
    </row>
    <row r="157" spans="2:7">
      <c r="B157" s="28" t="s">
        <v>42</v>
      </c>
      <c r="C157" s="32" cm="1">
        <f t="array" ref="C157">SUMPRODUCT(
  (LEN("," &amp; SUBSTITUTE(TRIM(SUBSTITUTE(E9:E100," ","")),",",",") &amp; ",") -
   LEN(SUBSTITUTE("," &amp; SUBSTITUTE(TRIM(SUBSTITUTE(E9:E100," ","")),",",",") &amp; ",", ",4a,", ""))
  ) / LEN(",4a,")
)</f>
        <v>0</v>
      </c>
      <c r="D157" s="17"/>
      <c r="E157" s="20"/>
      <c r="F157" s="26" t="s">
        <v>22</v>
      </c>
      <c r="G157" s="25" cm="1">
        <f t="array" ref="G157">SUMPRODUCT(
  (LEN("," &amp; SUBSTITUTE(TRIM(SUBSTITUTE(E9:E100," ","")),",",",") &amp; ",") -
   LEN(SUBSTITUTE("," &amp; SUBSTITUTE(TRIM(SUBSTITUTE(E9:E100," ","")),",",",") &amp; ",", ",4l,", ""))
  ) / LEN(",4l,")
)</f>
        <v>0</v>
      </c>
    </row>
    <row r="158" spans="2:7">
      <c r="B158" s="20" t="s">
        <v>33</v>
      </c>
      <c r="C158" s="31" cm="1">
        <f t="array" ref="C158">SUMPRODUCT(
  (--(TRIM(F9:F100)="evaluation")) *
  (
    (LEN("," &amp; SUBSTITUTE(TRIM(SUBSTITUTE(E9:E100," ","")),",",",") &amp; ",") -
     LEN(SUBSTITUTE("," &amp; SUBSTITUTE(TRIM(SUBSTITUTE(E9:E100," ","")),",",",") &amp; ",", ",4a,", ""))
    ) / LEN(",4a,")
  )
)</f>
        <v>0</v>
      </c>
      <c r="D158" s="17"/>
      <c r="E158" s="20"/>
      <c r="F158" s="20" t="s">
        <v>33</v>
      </c>
      <c r="G158" s="27" cm="1">
        <f t="array" ref="G158">SUMPRODUCT(
  (--(TRIM(F9:F100)="evaluation"))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59" spans="2:7">
      <c r="B159" s="20" t="s">
        <v>34</v>
      </c>
      <c r="C159" s="27" cm="1">
        <f t="array" ref="C159">SUMPRODUCT(
  (--(TRIM(F9:F100)="scholarship")) *
  (
    (LEN("," &amp; SUBSTITUTE(TRIM(SUBSTITUTE(E9:E100," ","")),",",",") &amp; ",") -
     LEN(SUBSTITUTE("," &amp; SUBSTITUTE(TRIM(SUBSTITUTE(E9:E100," ","")),",",",") &amp; ",", ",4a,", ""))
    ) / LEN(",4a,")
  )
)</f>
        <v>0</v>
      </c>
      <c r="D159" s="17"/>
      <c r="E159" s="20"/>
      <c r="F159" s="20" t="s">
        <v>34</v>
      </c>
      <c r="G159" s="27" cm="1">
        <f t="array" ref="G159">SUMPRODUCT(
  (--(TRIM(F9:F100)="scholarship"))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0" spans="2:7">
      <c r="B160" s="20" t="s">
        <v>35</v>
      </c>
      <c r="C160" s="27" cm="1">
        <f t="array" ref="C160">SUMPRODUCT(
  (--(TRIM(F9:F100)="passport")) *
  (
    (LEN("," &amp; SUBSTITUTE(TRIM(SUBSTITUTE(E9:E100," ","")),",",",") &amp; ",") -
     LEN(SUBSTITUTE("," &amp; SUBSTITUTE(TRIM(SUBSTITUTE(E9:E100," ","")),",",",") &amp; ",", ",4a,", ""))
    ) / LEN(",4a,")
  )
)</f>
        <v>0</v>
      </c>
      <c r="D160" s="17"/>
      <c r="E160" s="20"/>
      <c r="F160" s="20" t="s">
        <v>35</v>
      </c>
      <c r="G160" s="27" cm="1">
        <f t="array" ref="G160">SUMPRODUCT(
  (--(TRIM(F9:F100)="passport"))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1" spans="2:7">
      <c r="B161" s="20" t="s">
        <v>36</v>
      </c>
      <c r="C161" s="27" cm="1">
        <f t="array" ref="C161">SUMPRODUCT(
  (--(TRIM(F9:F100)="board exam")) *
  (
    (LEN("," &amp; SUBSTITUTE(TRIM(SUBSTITUTE(E9:E100," ","")),",",",") &amp; ",") -
     LEN(SUBSTITUTE("," &amp; SUBSTITUTE(TRIM(SUBSTITUTE(E9:E100," ","")),",",",") &amp; ",", ",4a,", ""))
    ) / LEN(",4a,")
  )
)</f>
        <v>0</v>
      </c>
      <c r="D161" s="17"/>
      <c r="E161" s="20"/>
      <c r="F161" s="20" t="s">
        <v>36</v>
      </c>
      <c r="G161" s="27" cm="1">
        <f t="array" ref="G161">SUMPRODUCT(
  (--(TRIM(F9:F100)="board exam"))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2" spans="2:7">
      <c r="B162" s="20" t="s">
        <v>37</v>
      </c>
      <c r="C162" s="27" cm="1">
        <f t="array" ref="C162">SUMPRODUCT(
  (--(TRIM(F9:F100)="employment")) *
  (
    (LEN("," &amp; SUBSTITUTE(TRIM(SUBSTITUTE(E9:E100," ","")),",",",") &amp; ",") -
     LEN(SUBSTITUTE("," &amp; SUBSTITUTE(TRIM(SUBSTITUTE(E9:E100," ","")),",",",") &amp; ",", ",4a,", ""))
    ) / LEN(",4a,")
  )
)</f>
        <v>0</v>
      </c>
      <c r="D162" s="17"/>
      <c r="E162" s="20"/>
      <c r="F162" s="20" t="s">
        <v>37</v>
      </c>
      <c r="G162" s="27" cm="1">
        <f t="array" ref="G162">SUMPRODUCT(
  (--(TRIM(F9:F100)="employment"))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3" spans="2:7">
      <c r="B163" s="20" t="s">
        <v>38</v>
      </c>
      <c r="C163" s="27" cm="1">
        <f t="array" ref="C163">SUMPRODUCT(
  (--(TRIM(F9:F100)="personal file")) *
  (
    (LEN("," &amp; SUBSTITUTE(TRIM(SUBSTITUTE(E9:E100," ","")),",",",") &amp; ",") -
     LEN(SUBSTITUTE("," &amp; SUBSTITUTE(TRIM(SUBSTITUTE(E9:E100," ","")),",",",") &amp; ",", ",4a,", ""))
    ) / LEN(",4a,")
  )
)</f>
        <v>0</v>
      </c>
      <c r="D163" s="17"/>
      <c r="E163" s="20"/>
      <c r="F163" s="20" t="s">
        <v>38</v>
      </c>
      <c r="G163" s="27" cm="1">
        <f t="array" ref="G163">SUMPRODUCT(
  (--(TRIM(F9:F100)="personal file"))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4" spans="2:7">
      <c r="B164" s="20" t="s">
        <v>39</v>
      </c>
      <c r="C164" s="27" cm="1">
        <f t="array" ref="C164">SUMPRODUCT(
  (--(TRIM(F9:F100)="advanced studies")) *
  (
    (LEN("," &amp; SUBSTITUTE(TRIM(SUBSTITUTE(E9:E100," ","")),",",",") &amp; ",") -
     LEN(SUBSTITUTE("," &amp; SUBSTITUTE(TRIM(SUBSTITUTE(E9:E100," ","")),",",",") &amp; ",", ",4a,", ""))
    ) / LEN(",4a,")
  )
)</f>
        <v>0</v>
      </c>
      <c r="D164" s="17"/>
      <c r="E164" s="20"/>
      <c r="F164" s="20" t="s">
        <v>39</v>
      </c>
      <c r="G164" s="27" cm="1">
        <f t="array" ref="G164">SUMPRODUCT(
  (--(TRIM(F9:F100)="advanced studies"))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5" spans="2:7">
      <c r="B165" s="20" t="s">
        <v>40</v>
      </c>
      <c r="C165" s="27" cm="1">
        <f t="array" ref="C165">SUMPRODUCT(
  (--(TRIM(F9:F100)="ranking")) *
  (
    (LEN("," &amp; SUBSTITUTE(TRIM(SUBSTITUTE(E9:E100," ","")),",",",") &amp; ",") -
     LEN(SUBSTITUTE("," &amp; SUBSTITUTE(TRIM(SUBSTITUTE(E9:E100," ","")),",",",") &amp; ",", ",4a,", ""))
    ) / LEN(",4a,")
  )
)</f>
        <v>0</v>
      </c>
      <c r="D165" s="17"/>
      <c r="E165" s="20"/>
      <c r="F165" s="20" t="s">
        <v>40</v>
      </c>
      <c r="G165" s="27" cm="1">
        <f t="array" ref="G165">SUMPRODUCT(
  (--(TRIM(F9:F100)="ranking")) *
  (
    (LEN("," &amp; SUBSTITUTE(TRIM(SUBSTITUTE(E9:E100," ","")),",",",") &amp; ",") -
     LEN(SUBSTITUTE("," &amp; SUBSTITUTE(TRIM(SUBSTITUTE(E9:E100," ","")),",",",") &amp; ",", ",4l,", ""))
    ) / LEN(",4l,")
  )
)</f>
        <v>0</v>
      </c>
    </row>
    <row r="166" spans="2:7">
      <c r="B166" s="20" t="s">
        <v>41</v>
      </c>
      <c r="C166" s="27">
        <f>C157 - SUM(C158:C165)</f>
        <v>0</v>
      </c>
      <c r="D166" s="17"/>
      <c r="E166" s="20"/>
      <c r="F166" s="20" t="s">
        <v>41</v>
      </c>
      <c r="G166" s="27">
        <f>(G157)- SUM(G158:G165)</f>
        <v>0</v>
      </c>
    </row>
    <row r="167" spans="2:7">
      <c r="B167" s="12"/>
      <c r="C167" s="27"/>
      <c r="D167" s="17"/>
      <c r="E167" s="20"/>
      <c r="F167" s="16"/>
      <c r="G167" s="27"/>
    </row>
    <row r="168" spans="2:7">
      <c r="B168" s="28" t="s">
        <v>12</v>
      </c>
      <c r="C168" s="25" cm="1">
        <f t="array" ref="C168">SUMPRODUCT(
  (LEN("," &amp; SUBSTITUTE(TRIM(SUBSTITUTE(E9:E100," ","")),",",",") &amp; ",") -
   LEN(SUBSTITUTE("," &amp; SUBSTITUTE(TRIM(SUBSTITUTE(E9:E100," ","")),",",",") &amp; ",", ",4b,", ""))
  ) / LEN(",4b,")
)</f>
        <v>0</v>
      </c>
      <c r="D168" s="17"/>
      <c r="E168" s="20"/>
      <c r="F168" s="26" t="s">
        <v>5</v>
      </c>
      <c r="G168" s="25" cm="1">
        <f t="array" ref="G168">SUMPRODUCT(
  (LEN("," &amp; SUBSTITUTE(TRIM(SUBSTITUTE(E9:E100," ","")),",",",") &amp; ",") -
   LEN(SUBSTITUTE("," &amp; SUBSTITUTE(TRIM(SUBSTITUTE(E9:E100," ","")),",",",") &amp; ",", ",5,", ""))
  ) / LEN(",5,")
)</f>
        <v>0</v>
      </c>
    </row>
    <row r="169" spans="2:7">
      <c r="B169" s="20" t="s">
        <v>33</v>
      </c>
      <c r="C169" s="27" cm="1">
        <f t="array" ref="C169">SUMPRODUCT(
  (--(TRIM(F9:F100)="evaluation")) *
  (
    (LEN("," &amp; SUBSTITUTE(TRIM(SUBSTITUTE(E9:E100," ","")),",",",") &amp; ",") -
     LEN(SUBSTITUTE("," &amp; SUBSTITUTE(TRIM(SUBSTITUTE(E9:E100," ","")),",",",") &amp; ",", ",4b,", ""))
    ) / LEN(",4b,")
  )
)</f>
        <v>0</v>
      </c>
      <c r="D169" s="17"/>
      <c r="E169" s="20"/>
      <c r="F169" s="20" t="s">
        <v>33</v>
      </c>
      <c r="G169" s="27" cm="1">
        <f t="array" ref="G169">SUMPRODUCT(
  (--(TRIM(F9:F100)="evaluation"))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0" spans="2:7">
      <c r="B170" s="20" t="s">
        <v>34</v>
      </c>
      <c r="C170" s="27" cm="1">
        <f t="array" ref="C170">SUMPRODUCT(
  (--(TRIM(F9:F100)="scholarship")) *
  (
    (LEN("," &amp; SUBSTITUTE(TRIM(SUBSTITUTE(E9:E100," ","")),",",",") &amp; ",") -
     LEN(SUBSTITUTE("," &amp; SUBSTITUTE(TRIM(SUBSTITUTE(E9:E100," ","")),",",",") &amp; ",", ",4b,", ""))
    ) / LEN(",4b,")
  )
)</f>
        <v>0</v>
      </c>
      <c r="D170" s="17"/>
      <c r="E170" s="20"/>
      <c r="F170" s="20" t="s">
        <v>34</v>
      </c>
      <c r="G170" s="27" cm="1">
        <f t="array" ref="G170">SUMPRODUCT(
  (--(TRIM(F9:F100)="scholarship"))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1" spans="2:7">
      <c r="B171" s="20" t="s">
        <v>35</v>
      </c>
      <c r="C171" s="27" cm="1">
        <f t="array" ref="C171">SUMPRODUCT(
  (--(TRIM(F9:F100)="passport")) *
  (
    (LEN("," &amp; SUBSTITUTE(TRIM(SUBSTITUTE(E9:E100," ","")),",",",") &amp; ",") -
     LEN(SUBSTITUTE("," &amp; SUBSTITUTE(TRIM(SUBSTITUTE(E9:E100," ","")),",",",") &amp; ",", ",4b,", ""))
    ) / LEN(",4b,")
  )
)</f>
        <v>0</v>
      </c>
      <c r="D171" s="15"/>
      <c r="E171" s="20"/>
      <c r="F171" s="20" t="s">
        <v>35</v>
      </c>
      <c r="G171" s="27" cm="1">
        <f t="array" ref="G171">SUMPRODUCT(
  (--(TRIM(F9:F100)="passport"))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2" spans="2:7">
      <c r="B172" s="20" t="s">
        <v>36</v>
      </c>
      <c r="C172" s="27" cm="1">
        <f t="array" ref="C172">SUMPRODUCT(
  (--(TRIM(F9:F100)="board exam")) *
  (
    (LEN("," &amp; SUBSTITUTE(TRIM(SUBSTITUTE(E9:E100," ","")),",",",") &amp; ",") -
     LEN(SUBSTITUTE("," &amp; SUBSTITUTE(TRIM(SUBSTITUTE(E9:E100," ","")),",",",") &amp; ",", ",4b,", ""))
    ) / LEN(",4b,")
  )
)</f>
        <v>0</v>
      </c>
      <c r="D172" s="17"/>
      <c r="E172" s="20"/>
      <c r="F172" s="20" t="s">
        <v>36</v>
      </c>
      <c r="G172" s="27" cm="1">
        <f t="array" ref="G172">SUMPRODUCT(
  (--(TRIM(F9:F100)="board exam"))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3" spans="2:7">
      <c r="B173" s="20" t="s">
        <v>37</v>
      </c>
      <c r="C173" s="27" cm="1">
        <f t="array" ref="C173">SUMPRODUCT(
  (--(TRIM(F9:F100)="employment")) *
  (
    (LEN("," &amp; SUBSTITUTE(TRIM(SUBSTITUTE(E9:E100," ","")),",",",") &amp; ",") -
     LEN(SUBSTITUTE("," &amp; SUBSTITUTE(TRIM(SUBSTITUTE(E9:E100," ","")),",",",") &amp; ",", ",4b,", ""))
    ) / LEN(",4b,")
  )
)</f>
        <v>0</v>
      </c>
      <c r="D173" s="17"/>
      <c r="E173" s="20"/>
      <c r="F173" s="20" t="s">
        <v>37</v>
      </c>
      <c r="G173" s="27" cm="1">
        <f t="array" ref="G173">SUMPRODUCT(
  (--(TRIM(F9:F100)="employment"))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4" spans="2:7">
      <c r="B174" s="20" t="s">
        <v>38</v>
      </c>
      <c r="C174" s="27" cm="1">
        <f t="array" ref="C174">SUMPRODUCT(
  (--(TRIM(F9:F100)="personal file")) *
  (
    (LEN("," &amp; SUBSTITUTE(TRIM(SUBSTITUTE(E9:E100," ","")),",",",") &amp; ",") -
     LEN(SUBSTITUTE("," &amp; SUBSTITUTE(TRIM(SUBSTITUTE(E9:E100," ","")),",",",") &amp; ",", ",4b,", ""))
    ) / LEN(",4b,")
  )
)</f>
        <v>0</v>
      </c>
      <c r="D174" s="17"/>
      <c r="E174" s="20"/>
      <c r="F174" s="20" t="s">
        <v>38</v>
      </c>
      <c r="G174" s="27" cm="1">
        <f t="array" ref="G174">SUMPRODUCT(
  (--(TRIM(F9:F100)="personal file"))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5" spans="2:7">
      <c r="B175" s="20" t="s">
        <v>39</v>
      </c>
      <c r="C175" s="27" cm="1">
        <f t="array" ref="C175">SUMPRODUCT(
  (--(TRIM(F9:F100)="advanced studies")) *
  (
    (LEN("," &amp; SUBSTITUTE(TRIM(SUBSTITUTE(E9:E100," ","")),",",",") &amp; ",") -
     LEN(SUBSTITUTE("," &amp; SUBSTITUTE(TRIM(SUBSTITUTE(E9:E100," ","")),",",",") &amp; ",", ",4b,", ""))
    ) / LEN(",4b,")
  )
)</f>
        <v>0</v>
      </c>
      <c r="D175" s="17"/>
      <c r="E175" s="20"/>
      <c r="F175" s="20" t="s">
        <v>39</v>
      </c>
      <c r="G175" s="27" cm="1">
        <f t="array" ref="G175">SUMPRODUCT(
  (--(TRIM(F9:F100)="advanced studies"))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6" spans="2:7">
      <c r="B176" s="20" t="s">
        <v>40</v>
      </c>
      <c r="C176" s="27" cm="1">
        <f t="array" ref="C176">SUMPRODUCT(
  (--(TRIM(F9:F100)="ranking")) *
  (
    (LEN("," &amp; SUBSTITUTE(TRIM(SUBSTITUTE(E9:E100," ","")),",",",") &amp; ",") -
     LEN(SUBSTITUTE("," &amp; SUBSTITUTE(TRIM(SUBSTITUTE(E9:E100," ","")),",",",") &amp; ",", ",4b,", ""))
    ) / LEN(",4b,")
  )
)</f>
        <v>0</v>
      </c>
      <c r="D176" s="17"/>
      <c r="E176" s="20"/>
      <c r="F176" s="20" t="s">
        <v>40</v>
      </c>
      <c r="G176" s="27" cm="1">
        <f t="array" ref="G176">SUMPRODUCT(
  (--(TRIM(F9:F100)="ranking")) *
  (
    (LEN("," &amp; SUBSTITUTE(TRIM(SUBSTITUTE(E9:E100," ","")),",",",") &amp; ",") -
     LEN(SUBSTITUTE("," &amp; SUBSTITUTE(TRIM(SUBSTITUTE(E9:E100," ","")),",",",") &amp; ",", ",5,", ""))
    ) / LEN(",5,")
  )
)</f>
        <v>0</v>
      </c>
    </row>
    <row r="177" spans="2:7">
      <c r="B177" s="20" t="s">
        <v>41</v>
      </c>
      <c r="C177" s="27">
        <f>(C168)- SUM(C169:C176)</f>
        <v>0</v>
      </c>
      <c r="D177" s="15"/>
      <c r="E177" s="20"/>
      <c r="F177" s="20" t="s">
        <v>41</v>
      </c>
      <c r="G177" s="27">
        <f>(G168)- SUM(G169:G176)</f>
        <v>0</v>
      </c>
    </row>
    <row r="178" spans="2:7">
      <c r="B178" s="20"/>
      <c r="C178" s="27"/>
      <c r="D178" s="20"/>
      <c r="E178" s="20"/>
      <c r="F178" s="20"/>
      <c r="G178" s="27"/>
    </row>
    <row r="179" spans="2:7">
      <c r="B179" s="26" t="s">
        <v>43</v>
      </c>
      <c r="C179" s="25" cm="1">
        <f t="array" ref="C179">SUMPRODUCT(
  (LEN("," &amp; SUBSTITUTE(TRIM(SUBSTITUTE(E9:E100," ","")),",",",") &amp; ",") -
   LEN(SUBSTITUTE("," &amp; SUBSTITUTE(TRIM(SUBSTITUTE(E9:E100," ","")),",",",") &amp; ",", ",4c,", ""))
  ) / LEN(",4c,")
)</f>
        <v>0</v>
      </c>
      <c r="D179" s="20"/>
      <c r="E179" s="20"/>
      <c r="F179" s="28" t="s">
        <v>10</v>
      </c>
      <c r="G179" s="25" cm="1">
        <f t="array" ref="G179">SUMPRODUCT(
  (LEN("," &amp; SUBSTITUTE(TRIM(SUBSTITUTE(E9:E100," ","")),",",",") &amp; ",") -
   LEN(SUBSTITUTE("," &amp; SUBSTITUTE(TRIM(SUBSTITUTE(E9:E100," ","")),",",",") &amp; ",", ",6,", ""))
  ) / LEN(",6,")
)</f>
        <v>0</v>
      </c>
    </row>
    <row r="180" spans="2:7">
      <c r="B180" s="20" t="s">
        <v>33</v>
      </c>
      <c r="C180" s="27" cm="1">
        <f t="array" ref="C180">SUMPRODUCT(
  (--(TRIM(F9:F100)="evaluation")) *
  (
    (LEN("," &amp; SUBSTITUTE(TRIM(SUBSTITUTE(E9:E100," ","")),",",",") &amp; ",") -
     LEN(SUBSTITUTE("," &amp; SUBSTITUTE(TRIM(SUBSTITUTE(E9:E100," ","")),",",",") &amp; ",", ",4c,", ""))
    ) / LEN(",4c,")
  )
)</f>
        <v>0</v>
      </c>
      <c r="D180" s="20"/>
      <c r="E180" s="20"/>
      <c r="F180" s="20" t="s">
        <v>33</v>
      </c>
      <c r="G180" s="27" cm="1">
        <f t="array" ref="G180">SUMPRODUCT(
  (--(TRIM(F9:F100)="evaluation"))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1" spans="2:7">
      <c r="B181" s="20" t="s">
        <v>34</v>
      </c>
      <c r="C181" s="27" cm="1">
        <f t="array" ref="C181">SUMPRODUCT(
  (--(TRIM(F9:F100)="scholarship")) *
  (
    (LEN("," &amp; SUBSTITUTE(TRIM(SUBSTITUTE(E9:E100," ","")),",",",") &amp; ",") -
     LEN(SUBSTITUTE("," &amp; SUBSTITUTE(TRIM(SUBSTITUTE(E9:E100," ","")),",",",") &amp; ",", ",4c,", ""))
    ) / LEN(",4c,")
  )
)</f>
        <v>0</v>
      </c>
      <c r="D181" s="20"/>
      <c r="E181" s="20"/>
      <c r="F181" s="20" t="s">
        <v>34</v>
      </c>
      <c r="G181" s="27" cm="1">
        <f t="array" ref="G181">SUMPRODUCT(
  (--(TRIM(F9:F100)="scholarship"))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2" spans="2:7">
      <c r="B182" s="20" t="s">
        <v>35</v>
      </c>
      <c r="C182" s="27" cm="1">
        <f t="array" ref="C182">SUMPRODUCT(
  (--(TRIM(F9:F100)="passport")) *
  (
    (LEN("," &amp; SUBSTITUTE(TRIM(SUBSTITUTE(E9:E100," ","")),",",",") &amp; ",") -
     LEN(SUBSTITUTE("," &amp; SUBSTITUTE(TRIM(SUBSTITUTE(E9:E100," ","")),",",",") &amp; ",", ",4c,", ""))
    ) / LEN(",4c,")
  )
)</f>
        <v>0</v>
      </c>
      <c r="D182" s="20"/>
      <c r="E182" s="20"/>
      <c r="F182" s="20" t="s">
        <v>35</v>
      </c>
      <c r="G182" s="27" cm="1">
        <f t="array" ref="G182">SUMPRODUCT(
  (--(TRIM(F9:F100)="passport"))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3" spans="2:7">
      <c r="B183" s="20" t="s">
        <v>36</v>
      </c>
      <c r="C183" s="27" cm="1">
        <f t="array" ref="C183">SUMPRODUCT(
  (--(TRIM(F9:F100)="board exam")) *
  (
    (LEN("," &amp; SUBSTITUTE(TRIM(SUBSTITUTE(E9:E100," ","")),",",",") &amp; ",") -
     LEN(SUBSTITUTE("," &amp; SUBSTITUTE(TRIM(SUBSTITUTE(E9:E100," ","")),",",",") &amp; ",", ",4c,", ""))
    ) / LEN(",4c,")
  )
)</f>
        <v>0</v>
      </c>
      <c r="D183" s="20"/>
      <c r="E183" s="20"/>
      <c r="F183" s="20" t="s">
        <v>36</v>
      </c>
      <c r="G183" s="27" cm="1">
        <f t="array" ref="G183">SUMPRODUCT(
  (--(TRIM(F9:F100)="board exam"))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4" spans="2:7">
      <c r="B184" s="20" t="s">
        <v>37</v>
      </c>
      <c r="C184" s="27" cm="1">
        <f t="array" ref="C184">SUMPRODUCT(
  (--(TRIM(F9:F100)="employment")) *
  (
    (LEN("," &amp; SUBSTITUTE(TRIM(SUBSTITUTE(E9:E100," ","")),",",",") &amp; ",") -
     LEN(SUBSTITUTE("," &amp; SUBSTITUTE(TRIM(SUBSTITUTE(E9:E100," ","")),",",",") &amp; ",", ",4c,", ""))
    ) / LEN(",4c,")
  )
)</f>
        <v>0</v>
      </c>
      <c r="D184" s="20"/>
      <c r="E184" s="20"/>
      <c r="F184" s="20" t="s">
        <v>37</v>
      </c>
      <c r="G184" s="27" cm="1">
        <f t="array" ref="G184">SUMPRODUCT(
  (--(TRIM(F9:F100)="employment"))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5" spans="2:7">
      <c r="B185" s="20" t="s">
        <v>38</v>
      </c>
      <c r="C185" s="27" cm="1">
        <f t="array" ref="C185">SUMPRODUCT(
  (--(TRIM(F9:F100)="personal file")) *
  (
    (LEN("," &amp; SUBSTITUTE(TRIM(SUBSTITUTE(E9:E100," ","")),",",",") &amp; ",") -
     LEN(SUBSTITUTE("," &amp; SUBSTITUTE(TRIM(SUBSTITUTE(E9:E100," ","")),",",",") &amp; ",", ",4c,", ""))
    ) / LEN(",4c,")
  )
)</f>
        <v>0</v>
      </c>
      <c r="D185" s="20"/>
      <c r="E185" s="20"/>
      <c r="F185" s="20" t="s">
        <v>38</v>
      </c>
      <c r="G185" s="27" cm="1">
        <f t="array" ref="G185">SUMPRODUCT(
  (--(TRIM(F9:F100)="personal file"))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6" spans="2:7">
      <c r="B186" s="20" t="s">
        <v>39</v>
      </c>
      <c r="C186" s="27" cm="1">
        <f t="array" ref="C186">SUMPRODUCT(
  (--(TRIM(F9:F100)="advanced studies")) *
  (
    (LEN("," &amp; SUBSTITUTE(TRIM(SUBSTITUTE(E9:E100," ","")),",",",") &amp; ",") -
     LEN(SUBSTITUTE("," &amp; SUBSTITUTE(TRIM(SUBSTITUTE(E9:E100," ","")),",",",") &amp; ",", ",4c,", ""))
    ) / LEN(",4c,")
  )
)</f>
        <v>0</v>
      </c>
      <c r="D186" s="20"/>
      <c r="E186" s="20"/>
      <c r="F186" s="20" t="s">
        <v>39</v>
      </c>
      <c r="G186" s="27" cm="1">
        <f t="array" ref="G186">SUMPRODUCT(
  (--(TRIM(F9:F100)="advanced studies"))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7" spans="2:7">
      <c r="B187" s="20" t="s">
        <v>40</v>
      </c>
      <c r="C187" s="27" cm="1">
        <f t="array" ref="C187">SUMPRODUCT(
  (--(TRIM(F9:F100)="ranking")) *
  (
    (LEN("," &amp; SUBSTITUTE(TRIM(SUBSTITUTE(E9:E100," ","")),",",",") &amp; ",") -
     LEN(SUBSTITUTE("," &amp; SUBSTITUTE(TRIM(SUBSTITUTE(E9:E100," ","")),",",",") &amp; ",", ",4c,", ""))
    ) / LEN(",4c,")
  )
)</f>
        <v>0</v>
      </c>
      <c r="D187" s="20"/>
      <c r="E187" s="20"/>
      <c r="F187" s="20" t="s">
        <v>40</v>
      </c>
      <c r="G187" s="27" cm="1">
        <f t="array" ref="G187">SUMPRODUCT(
  (--(TRIM(F9:F100)="ranking")) *
  (
    (LEN("," &amp; SUBSTITUTE(TRIM(SUBSTITUTE(E9:E100," ","")),",",",") &amp; ",") -
     LEN(SUBSTITUTE("," &amp; SUBSTITUTE(TRIM(SUBSTITUTE(E9:E100," ","")),",",",") &amp; ",", ",6,", ""))
    ) / LEN(",6,")
  )
)</f>
        <v>0</v>
      </c>
    </row>
    <row r="188" spans="2:7">
      <c r="B188" s="20" t="s">
        <v>41</v>
      </c>
      <c r="C188" s="27">
        <f>(C179)- SUM(C180:C187)</f>
        <v>0</v>
      </c>
      <c r="D188" s="20"/>
      <c r="E188" s="20"/>
      <c r="F188" s="20" t="s">
        <v>41</v>
      </c>
      <c r="G188" s="27">
        <f>(G179)- SUM(G180:G187)</f>
        <v>0</v>
      </c>
    </row>
    <row r="189" spans="2:7">
      <c r="B189" s="20"/>
      <c r="C189" s="27"/>
      <c r="D189" s="20"/>
      <c r="E189" s="20"/>
      <c r="F189" s="20"/>
      <c r="G189" s="27"/>
    </row>
    <row r="190" spans="2:7">
      <c r="B190" s="28" t="s">
        <v>20</v>
      </c>
      <c r="C190" s="25" cm="1">
        <f t="array" ref="C190">SUMPRODUCT(
  (LEN("," &amp; SUBSTITUTE(TRIM(SUBSTITUTE(E9:E100," ","")),",",",") &amp; ",") -
   LEN(SUBSTITUTE("," &amp; SUBSTITUTE(TRIM(SUBSTITUTE(E9:E100," ","")),",",",") &amp; ",", ",4d,", ""))
  ) / LEN(",4d,")
)</f>
        <v>0</v>
      </c>
      <c r="D190" s="20"/>
      <c r="E190" s="20"/>
      <c r="F190" s="28" t="s">
        <v>15</v>
      </c>
      <c r="G190" s="25" cm="1">
        <f t="array" ref="G190">SUMPRODUCT(
  (LEN("," &amp; SUBSTITUTE(TRIM(SUBSTITUTE(E9:E100," ","")),",",",") &amp; ",") -
   LEN(SUBSTITUTE("," &amp; SUBSTITUTE(TRIM(SUBSTITUTE(E9:E100," ","")),",",",") &amp; ",", ",7,", ""))
  ) / LEN(",7,")
)</f>
        <v>0</v>
      </c>
    </row>
    <row r="191" spans="2:7">
      <c r="B191" s="20" t="s">
        <v>33</v>
      </c>
      <c r="C191" s="27" cm="1">
        <f t="array" ref="C191">SUMPRODUCT(
  (--(TRIM(F9:F100)="evaluation")) *
  (
    (LEN("," &amp; SUBSTITUTE(TRIM(SUBSTITUTE(E9:E100," ","")),",",",") &amp; ",") -
     LEN(SUBSTITUTE("," &amp; SUBSTITUTE(TRIM(SUBSTITUTE(E9:E100," ","")),",",",") &amp; ",", ",4d,", ""))
    ) / LEN(",4d,")
  )
)</f>
        <v>0</v>
      </c>
      <c r="D191" s="20"/>
      <c r="E191" s="20"/>
      <c r="F191" s="20" t="s">
        <v>33</v>
      </c>
      <c r="G191" s="27" cm="1">
        <f t="array" ref="G191">SUMPRODUCT(
  (--(TRIM(F9:F100)="evaluation"))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2" spans="2:7">
      <c r="B192" s="20" t="s">
        <v>34</v>
      </c>
      <c r="C192" s="27" cm="1">
        <f t="array" ref="C192">SUMPRODUCT(
  (--(TRIM(F9:F100)="scholarship")) *
  (
    (LEN("," &amp; SUBSTITUTE(TRIM(SUBSTITUTE(E9:E100," ","")),",",",") &amp; ",") -
     LEN(SUBSTITUTE("," &amp; SUBSTITUTE(TRIM(SUBSTITUTE(E9:E100," ","")),",",",") &amp; ",", ",4d,", ""))
    ) / LEN(",4d,")
  )
)</f>
        <v>0</v>
      </c>
      <c r="D192" s="20"/>
      <c r="E192" s="20"/>
      <c r="F192" s="20" t="s">
        <v>34</v>
      </c>
      <c r="G192" s="27" cm="1">
        <f t="array" ref="G192">SUMPRODUCT(
  (--(TRIM(F9:F100)="scholarship"))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3" spans="2:7">
      <c r="B193" s="20" t="s">
        <v>35</v>
      </c>
      <c r="C193" s="27" cm="1">
        <f t="array" ref="C193">SUMPRODUCT(
  (--(TRIM(F9:F100)="passport")) *
  (
    (LEN("," &amp; SUBSTITUTE(TRIM(SUBSTITUTE(E9:E100," ","")),",",",") &amp; ",") -
     LEN(SUBSTITUTE("," &amp; SUBSTITUTE(TRIM(SUBSTITUTE(E9:E100," ","")),",",",") &amp; ",", ",4d,", ""))
    ) / LEN(",4d,")
  )
)</f>
        <v>0</v>
      </c>
      <c r="D193" s="20"/>
      <c r="E193" s="20"/>
      <c r="F193" s="20" t="s">
        <v>35</v>
      </c>
      <c r="G193" s="27" cm="1">
        <f t="array" ref="G193">SUMPRODUCT(
  (--(TRIM(F9:F100)="passport"))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4" spans="2:7">
      <c r="B194" s="20" t="s">
        <v>36</v>
      </c>
      <c r="C194" s="27" cm="1">
        <f t="array" ref="C194">SUMPRODUCT(
  (--(TRIM(F9:F100)="board exam")) *
  (
    (LEN("," &amp; SUBSTITUTE(TRIM(SUBSTITUTE(E9:E100," ","")),",",",") &amp; ",") -
     LEN(SUBSTITUTE("," &amp; SUBSTITUTE(TRIM(SUBSTITUTE(E9:E100," ","")),",",",") &amp; ",", ",4d,", ""))
    ) / LEN(",4d,")
  )
)</f>
        <v>0</v>
      </c>
      <c r="D194" s="20"/>
      <c r="E194" s="20"/>
      <c r="F194" s="20" t="s">
        <v>36</v>
      </c>
      <c r="G194" s="27" cm="1">
        <f t="array" ref="G194">SUMPRODUCT(
  (--(TRIM(F9:F100)="board exam"))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5" spans="2:7">
      <c r="B195" s="20" t="s">
        <v>37</v>
      </c>
      <c r="C195" s="27" cm="1">
        <f t="array" ref="C195">SUMPRODUCT(
  (--(TRIM(F9:F100)="employment")) *
  (
    (LEN("," &amp; SUBSTITUTE(TRIM(SUBSTITUTE(E9:E100," ","")),",",",") &amp; ",") -
     LEN(SUBSTITUTE("," &amp; SUBSTITUTE(TRIM(SUBSTITUTE(E9:E100," ","")),",",",") &amp; ",", ",4d,", ""))
    ) / LEN(",4d,")
  )
)</f>
        <v>0</v>
      </c>
      <c r="D195" s="20"/>
      <c r="E195" s="20"/>
      <c r="F195" s="20" t="s">
        <v>37</v>
      </c>
      <c r="G195" s="27" cm="1">
        <f t="array" ref="G195">SUMPRODUCT(
  (--(TRIM(F9:F100)="employment"))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6" spans="2:7">
      <c r="B196" s="20" t="s">
        <v>38</v>
      </c>
      <c r="C196" s="27" cm="1">
        <f t="array" ref="C196">SUMPRODUCT(
  (--(TRIM(F9:F100)="personal file")) *
  (
    (LEN("," &amp; SUBSTITUTE(TRIM(SUBSTITUTE(E9:E100," ","")),",",",") &amp; ",") -
     LEN(SUBSTITUTE("," &amp; SUBSTITUTE(TRIM(SUBSTITUTE(E9:E100," ","")),",",",") &amp; ",", ",4d,", ""))
    ) / LEN(",4d,")
  )
)</f>
        <v>0</v>
      </c>
      <c r="D196" s="20"/>
      <c r="E196" s="20"/>
      <c r="F196" s="20" t="s">
        <v>38</v>
      </c>
      <c r="G196" s="27" cm="1">
        <f t="array" ref="G196">SUMPRODUCT(
  (--(TRIM(F9:F100)="personal file"))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7" spans="2:7">
      <c r="B197" s="20" t="s">
        <v>39</v>
      </c>
      <c r="C197" s="27" cm="1">
        <f t="array" ref="C197">SUMPRODUCT(
  (--(TRIM(F9:F100)="advanced studies")) *
  (
    (LEN("," &amp; SUBSTITUTE(TRIM(SUBSTITUTE(E9:E100," ","")),",",",") &amp; ",") -
     LEN(SUBSTITUTE("," &amp; SUBSTITUTE(TRIM(SUBSTITUTE(E9:E100," ","")),",",",") &amp; ",", ",4d,", ""))
    ) / LEN(",4d,")
  )
)</f>
        <v>0</v>
      </c>
      <c r="D197" s="20"/>
      <c r="E197" s="20"/>
      <c r="F197" s="20" t="s">
        <v>39</v>
      </c>
      <c r="G197" s="27" cm="1">
        <f t="array" ref="G197">SUMPRODUCT(
  (--(TRIM(F9:F100)="advanced studies"))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8" spans="2:7">
      <c r="B198" s="20" t="s">
        <v>40</v>
      </c>
      <c r="C198" s="27" cm="1">
        <f t="array" ref="C198">SUMPRODUCT(
  (--(TRIM(F9:F100)="ranking")) *
  (
    (LEN("," &amp; SUBSTITUTE(TRIM(SUBSTITUTE(E9:E100," ","")),",",",") &amp; ",") -
     LEN(SUBSTITUTE("," &amp; SUBSTITUTE(TRIM(SUBSTITUTE(E9:E100," ","")),",",",") &amp; ",", ",4d,", ""))
    ) / LEN(",4d,")
  )
)</f>
        <v>0</v>
      </c>
      <c r="D198" s="20"/>
      <c r="E198" s="20"/>
      <c r="F198" s="20" t="s">
        <v>40</v>
      </c>
      <c r="G198" s="27" cm="1">
        <f t="array" ref="G198">SUMPRODUCT(
  (--(TRIM(F9:F100)="ranking")) *
  (
    (LEN("," &amp; SUBSTITUTE(TRIM(SUBSTITUTE(E9:E100," ","")),",",",") &amp; ",") -
     LEN(SUBSTITUTE("," &amp; SUBSTITUTE(TRIM(SUBSTITUTE(E9:E100," ","")),",",",") &amp; ",", ",7,", ""))
    ) / LEN(",7,")
  )
)</f>
        <v>0</v>
      </c>
    </row>
    <row r="199" spans="2:7">
      <c r="B199" s="20" t="s">
        <v>41</v>
      </c>
      <c r="C199" s="27">
        <f>(C190)- SUM(C191:C198)</f>
        <v>0</v>
      </c>
      <c r="D199" s="20"/>
      <c r="E199" s="20"/>
      <c r="F199" s="20" t="s">
        <v>41</v>
      </c>
      <c r="G199" s="27">
        <f>(G190)- SUM(G191:G198)</f>
        <v>0</v>
      </c>
    </row>
    <row r="200" spans="2:7">
      <c r="B200" s="16"/>
      <c r="C200" s="27"/>
      <c r="D200" s="20"/>
      <c r="E200" s="20"/>
      <c r="F200" s="20"/>
      <c r="G200" s="27"/>
    </row>
    <row r="201" spans="2:7">
      <c r="B201" s="26" t="s">
        <v>44</v>
      </c>
      <c r="C201" s="25" cm="1">
        <f t="array" ref="C201">SUMPRODUCT(
  (LEN("," &amp; SUBSTITUTE(TRIM(SUBSTITUTE(E9:E100," ","")),",",",") &amp; ",") -
   LEN(SUBSTITUTE("," &amp; SUBSTITUTE(TRIM(SUBSTITUTE(E9:E100," ","")),",",",") &amp; ",", ",4e,", ""))
  ) / LEN(",4e,")
)</f>
        <v>0</v>
      </c>
      <c r="D201" s="20"/>
      <c r="E201" s="20"/>
      <c r="F201" s="28" t="s">
        <v>6</v>
      </c>
      <c r="G201" s="33" cm="1">
        <f t="array" ref="G201">SUMPRODUCT(
  (LEN("," &amp; SUBSTITUTE(TRIM(SUBSTITUTE(E9:E100," ","")),",",",") &amp; ",") -
   LEN(SUBSTITUTE("," &amp; SUBSTITUTE(TRIM(SUBSTITUTE(E9:E100," ","")),",",",") &amp; ",", ",8,", ""))
  ) / LEN(",8,")
)</f>
        <v>0</v>
      </c>
    </row>
    <row r="202" spans="2:7">
      <c r="B202" s="20" t="s">
        <v>33</v>
      </c>
      <c r="C202" s="27" cm="1">
        <f t="array" ref="C202">SUMPRODUCT(
  (--(TRIM(F9:F100)="evaluation")) *
  (
    (LEN("," &amp; SUBSTITUTE(TRIM(SUBSTITUTE(E9:E100," ","")),",",",") &amp; ",") -
     LEN(SUBSTITUTE("," &amp; SUBSTITUTE(TRIM(SUBSTITUTE(E9:E100," ","")),",",",") &amp; ",", ",4e,", ""))
    ) / LEN(",4e,")
  )
)</f>
        <v>0</v>
      </c>
      <c r="D202" s="20"/>
      <c r="E202" s="20"/>
      <c r="F202" s="20" t="s">
        <v>33</v>
      </c>
      <c r="G202" s="27" cm="1">
        <f t="array" ref="G202">SUMPRODUCT(
  (--(TRIM(F9:F100)="evaluation"))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3" spans="2:7">
      <c r="B203" s="20" t="s">
        <v>34</v>
      </c>
      <c r="C203" s="27" cm="1">
        <f t="array" ref="C203">SUMPRODUCT(
  (--(TRIM(F9:F100)="scholarship")) *
  (
    (LEN("," &amp; SUBSTITUTE(TRIM(SUBSTITUTE(E9:E100," ","")),",",",") &amp; ",") -
     LEN(SUBSTITUTE("," &amp; SUBSTITUTE(TRIM(SUBSTITUTE(E9:E100," ","")),",",",") &amp; ",", ",4e,", ""))
    ) / LEN(",4e,")
  )
)</f>
        <v>0</v>
      </c>
      <c r="D203" s="20"/>
      <c r="E203" s="20"/>
      <c r="F203" s="20" t="s">
        <v>34</v>
      </c>
      <c r="G203" s="27" cm="1">
        <f t="array" ref="G203">SUMPRODUCT(
  (--(TRIM(F9:F100)="scholarship"))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4" spans="2:7">
      <c r="B204" s="20" t="s">
        <v>35</v>
      </c>
      <c r="C204" s="27" cm="1">
        <f t="array" ref="C204">SUMPRODUCT(
  (--(TRIM(F9:F100)="passport")) *
  (
    (LEN("," &amp; SUBSTITUTE(TRIM(SUBSTITUTE(E9:E100," ","")),",",",") &amp; ",") -
     LEN(SUBSTITUTE("," &amp; SUBSTITUTE(TRIM(SUBSTITUTE(E9:E100," ","")),",",",") &amp; ",", ",4e,", ""))
    ) / LEN(",4e,")
  )
)</f>
        <v>0</v>
      </c>
      <c r="D204" s="20"/>
      <c r="E204" s="20"/>
      <c r="F204" s="20" t="s">
        <v>35</v>
      </c>
      <c r="G204" s="27" cm="1">
        <f t="array" ref="G204">SUMPRODUCT(
  (--(TRIM(F9:F100)="passport"))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5" spans="2:7">
      <c r="B205" s="20" t="s">
        <v>36</v>
      </c>
      <c r="C205" s="27" cm="1">
        <f t="array" ref="C205">SUMPRODUCT(
  (--(TRIM(F9:F100)="board exam")) *
  (
    (LEN("," &amp; SUBSTITUTE(TRIM(SUBSTITUTE(E9:E100," ","")),",",",") &amp; ",") -
     LEN(SUBSTITUTE("," &amp; SUBSTITUTE(TRIM(SUBSTITUTE(E9:E100," ","")),",",",") &amp; ",", ",4e,", ""))
    ) / LEN(",4e,")
  )
)</f>
        <v>0</v>
      </c>
      <c r="D205" s="20"/>
      <c r="E205" s="20"/>
      <c r="F205" s="20" t="s">
        <v>36</v>
      </c>
      <c r="G205" s="27" cm="1">
        <f t="array" ref="G205">SUMPRODUCT(
  (--(TRIM(F9:F100)="bboard exam"))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6" spans="2:7">
      <c r="B206" s="20" t="s">
        <v>37</v>
      </c>
      <c r="C206" s="27" cm="1">
        <f t="array" ref="C206">SUMPRODUCT(
  (--(TRIM(F9:F100)="employment")) *
  (
    (LEN("," &amp; SUBSTITUTE(TRIM(SUBSTITUTE(E9:E100," ","")),",",",") &amp; ",") -
     LEN(SUBSTITUTE("," &amp; SUBSTITUTE(TRIM(SUBSTITUTE(E9:E100," ","")),",",",") &amp; ",", ",4e,", ""))
    ) / LEN(",4e,")
  )
)</f>
        <v>0</v>
      </c>
      <c r="D206" s="20"/>
      <c r="E206" s="20"/>
      <c r="F206" s="20" t="s">
        <v>37</v>
      </c>
      <c r="G206" s="27" cm="1">
        <f t="array" ref="G206">SUMPRODUCT(
  (--(TRIM(F9:F100)="employment"))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7" spans="2:7">
      <c r="B207" s="20" t="s">
        <v>38</v>
      </c>
      <c r="C207" s="27" cm="1">
        <f t="array" ref="C207">SUMPRODUCT(
  (--(TRIM(F9:F100)="personal file")) *
  (
    (LEN("," &amp; SUBSTITUTE(TRIM(SUBSTITUTE(E9:E100," ","")),",",",") &amp; ",") -
     LEN(SUBSTITUTE("," &amp; SUBSTITUTE(TRIM(SUBSTITUTE(E9:E100," ","")),",",",") &amp; ",", ",4e,", ""))
    ) / LEN(",4e,")
  )
)</f>
        <v>0</v>
      </c>
      <c r="D207" s="20"/>
      <c r="E207" s="20"/>
      <c r="F207" s="20" t="s">
        <v>38</v>
      </c>
      <c r="G207" s="27" cm="1">
        <f t="array" ref="G207">SUMPRODUCT(
  (--(TRIM(F9:F100)="personal file"))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8" spans="2:7">
      <c r="B208" s="20" t="s">
        <v>39</v>
      </c>
      <c r="C208" s="27" cm="1">
        <f t="array" ref="C208">SUMPRODUCT(
  (--(TRIM(F9:F100)="advanced studies")) *
  (
    (LEN("," &amp; SUBSTITUTE(TRIM(SUBSTITUTE(E9:E100," ","")),",",",") &amp; ",") -
     LEN(SUBSTITUTE("," &amp; SUBSTITUTE(TRIM(SUBSTITUTE(E9:E100," ","")),",",",") &amp; ",", ",4e,", ""))
    ) / LEN(",4e,")
  )
)</f>
        <v>0</v>
      </c>
      <c r="D208" s="20"/>
      <c r="E208" s="20"/>
      <c r="F208" s="20" t="s">
        <v>39</v>
      </c>
      <c r="G208" s="27" cm="1">
        <f t="array" ref="G208">SUMPRODUCT(
  (--(TRIM(F9:F100)="advanced studies"))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09" spans="2:7">
      <c r="B209" s="20" t="s">
        <v>40</v>
      </c>
      <c r="C209" s="27" cm="1">
        <f t="array" ref="C209">SUMPRODUCT(
  (--(TRIM(F9:F100)="ranking")) *
  (
    (LEN("," &amp; SUBSTITUTE(TRIM(SUBSTITUTE(E9:E100," ","")),",",",") &amp; ",") -
     LEN(SUBSTITUTE("," &amp; SUBSTITUTE(TRIM(SUBSTITUTE(E9:E100," ","")),",",",") &amp; ",", ",4e,", ""))
    ) / LEN(",4e,")
  )
)</f>
        <v>0</v>
      </c>
      <c r="D209" s="20"/>
      <c r="E209" s="20"/>
      <c r="F209" s="20" t="s">
        <v>40</v>
      </c>
      <c r="G209" s="27" cm="1">
        <f t="array" ref="G209">SUMPRODUCT(
  (--(TRIM(F9:F100)="ranking")) *
  (
    (LEN("," &amp; SUBSTITUTE(TRIM(SUBSTITUTE(E9:E100," ","")),",",",") &amp; ",") -
     LEN(SUBSTITUTE("," &amp; SUBSTITUTE(TRIM(SUBSTITUTE(E9:E100," ","")),",",",") &amp; ",", ",8,", ""))
    ) / LEN(",8,")
  )
)</f>
        <v>0</v>
      </c>
    </row>
    <row r="210" spans="2:7">
      <c r="B210" s="20" t="s">
        <v>41</v>
      </c>
      <c r="C210" s="27">
        <f>(C201)- SUM(C202:C209)</f>
        <v>0</v>
      </c>
      <c r="D210" s="20"/>
      <c r="E210" s="20"/>
      <c r="F210" s="20" t="s">
        <v>41</v>
      </c>
      <c r="G210" s="27">
        <f>(G201)- SUM(G202:G209)</f>
        <v>0</v>
      </c>
    </row>
    <row r="211" spans="2:7">
      <c r="B211" s="16"/>
      <c r="C211" s="27"/>
      <c r="D211" s="20"/>
      <c r="E211" s="20"/>
      <c r="F211" s="20"/>
      <c r="G211" s="27"/>
    </row>
    <row r="212" spans="2:7">
      <c r="B212" s="26" t="s">
        <v>13</v>
      </c>
      <c r="C212" s="25" cm="1">
        <f t="array" ref="C212">SUMPRODUCT(
  (LEN("," &amp; SUBSTITUTE(TRIM(SUBSTITUTE(E9:E100," ","")),",",",") &amp; ",") -
   LEN(SUBSTITUTE("," &amp; SUBSTITUTE(TRIM(SUBSTITUTE(E9:E100," ","")),",",",") &amp; ",", ",4f,", ""))
  ) / LEN(",4f,")
)</f>
        <v>0</v>
      </c>
      <c r="D212" s="20"/>
      <c r="E212" s="20"/>
      <c r="F212" s="28" t="s">
        <v>45</v>
      </c>
      <c r="G212" s="33" cm="1">
        <f t="array" ref="G212">SUMPRODUCT(
  (LEN("," &amp; SUBSTITUTE(TRIM(SUBSTITUTE(E9:E100," ","")),",",",") &amp; ",") -
   LEN(SUBSTITUTE("," &amp; SUBSTITUTE(TRIM(SUBSTITUTE(E9:E100," ","")),",",",") &amp; ",", ",9,", ""))
  ) / LEN(",9,")
)</f>
        <v>0</v>
      </c>
    </row>
    <row r="213" spans="2:7">
      <c r="B213" s="20" t="s">
        <v>33</v>
      </c>
      <c r="C213" s="27" cm="1">
        <f t="array" ref="C213">SUMPRODUCT(
  (--(TRIM(F9:F100)="evaluation")) *
  (
    (LEN("," &amp; SUBSTITUTE(TRIM(SUBSTITUTE(E9:E100," ","")),",",",") &amp; ",") -
     LEN(SUBSTITUTE("," &amp; SUBSTITUTE(TRIM(SUBSTITUTE(E9:E100," ","")),",",",") &amp; ",", ",4f,", ""))
    ) / LEN(",4f,")
  )
)</f>
        <v>0</v>
      </c>
      <c r="D213" s="20"/>
      <c r="E213" s="20"/>
      <c r="F213" s="20" t="s">
        <v>33</v>
      </c>
      <c r="G213" s="27" cm="1">
        <f t="array" ref="G213">SUMPRODUCT(
  (--(TRIM(F9:F100)="evaluation"))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4" spans="2:7">
      <c r="B214" s="20" t="s">
        <v>34</v>
      </c>
      <c r="C214" s="27" cm="1">
        <f t="array" ref="C214">SUMPRODUCT(
  (--(TRIM(F9:F100)="scholarship")) *
  (
    (LEN("," &amp; SUBSTITUTE(TRIM(SUBSTITUTE(E9:E100," ","")),",",",") &amp; ",") -
     LEN(SUBSTITUTE("," &amp; SUBSTITUTE(TRIM(SUBSTITUTE(E9:E100," ","")),",",",") &amp; ",", ",4f,", ""))
    ) / LEN(",4f,")
  )
)</f>
        <v>0</v>
      </c>
      <c r="D214" s="20"/>
      <c r="E214" s="20"/>
      <c r="F214" s="20" t="s">
        <v>34</v>
      </c>
      <c r="G214" s="27" cm="1">
        <f t="array" ref="G214">SUMPRODUCT(
  (--(TRIM(F9:F100)="scholarship"))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5" spans="2:7">
      <c r="B215" s="20" t="s">
        <v>35</v>
      </c>
      <c r="C215" s="27" cm="1">
        <f t="array" ref="C215">SUMPRODUCT(
  (--(TRIM(F9:F100)="passport")) *
  (
    (LEN("," &amp; SUBSTITUTE(TRIM(SUBSTITUTE(E9:E100," ","")),",",",") &amp; ",") -
     LEN(SUBSTITUTE("," &amp; SUBSTITUTE(TRIM(SUBSTITUTE(E9:E100," ","")),",",",") &amp; ",", ",4f,", ""))
    ) / LEN(",4f,")
  )
)</f>
        <v>0</v>
      </c>
      <c r="D215" s="20"/>
      <c r="E215" s="20"/>
      <c r="F215" s="20" t="s">
        <v>35</v>
      </c>
      <c r="G215" s="27" cm="1">
        <f t="array" ref="G215">SUMPRODUCT(
  (--(TRIM(F9:F100)="passport"))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6" spans="2:7">
      <c r="B216" s="20" t="s">
        <v>36</v>
      </c>
      <c r="C216" s="27" cm="1">
        <f t="array" ref="C216">SUMPRODUCT(
  (--(TRIM(F9:F100)="board exam")) *
  (
    (LEN("," &amp; SUBSTITUTE(TRIM(SUBSTITUTE(E9:E100," ","")),",",",") &amp; ",") -
     LEN(SUBSTITUTE("," &amp; SUBSTITUTE(TRIM(SUBSTITUTE(E9:E100," ","")),",",",") &amp; ",", ",4f,", ""))
    ) / LEN(",4f,")
  )
)</f>
        <v>0</v>
      </c>
      <c r="D216" s="20"/>
      <c r="E216" s="20"/>
      <c r="F216" s="20" t="s">
        <v>36</v>
      </c>
      <c r="G216" s="27" cm="1">
        <f t="array" ref="G216">SUMPRODUCT(
  (--(TRIM(F9:F100)="board exam"))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7" spans="2:7">
      <c r="B217" s="20" t="s">
        <v>37</v>
      </c>
      <c r="C217" s="27" cm="1">
        <f t="array" ref="C217">SUMPRODUCT(
  (--(TRIM(F9:F100)="employment")) *
  (
    (LEN("," &amp; SUBSTITUTE(TRIM(SUBSTITUTE(E9:E100," ","")),",",",") &amp; ",") -
     LEN(SUBSTITUTE("," &amp; SUBSTITUTE(TRIM(SUBSTITUTE(E9:E100," ","")),",",",") &amp; ",", ",4f,", ""))
    ) / LEN(",4f,")
  )
)</f>
        <v>0</v>
      </c>
      <c r="D217" s="20"/>
      <c r="E217" s="20"/>
      <c r="F217" s="20" t="s">
        <v>37</v>
      </c>
      <c r="G217" s="27" cm="1">
        <f t="array" ref="G217">SUMPRODUCT(
  (--(TRIM(F9:F100)="employment"))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8" spans="2:7">
      <c r="B218" s="20" t="s">
        <v>38</v>
      </c>
      <c r="C218" s="27" cm="1">
        <f t="array" ref="C218">SUMPRODUCT(
  (--(TRIM(F9:F100)="personal file")) *
  (
    (LEN("," &amp; SUBSTITUTE(TRIM(SUBSTITUTE(E9:E100," ","")),",",",") &amp; ",") -
     LEN(SUBSTITUTE("," &amp; SUBSTITUTE(TRIM(SUBSTITUTE(E9:E100," ","")),",",",") &amp; ",", ",4f,", ""))
    ) / LEN(",4f,")
  )
)</f>
        <v>0</v>
      </c>
      <c r="D218" s="20"/>
      <c r="E218" s="20"/>
      <c r="F218" s="20" t="s">
        <v>38</v>
      </c>
      <c r="G218" s="27" cm="1">
        <f t="array" ref="G218">SUMPRODUCT(
  (--(TRIM(F9:F100)="personal file"))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19" spans="2:7">
      <c r="B219" s="20" t="s">
        <v>39</v>
      </c>
      <c r="C219" s="27" cm="1">
        <f t="array" ref="C219">SUMPRODUCT(
  (--(TRIM(F9:F100)="advanced studies")) *
  (
    (LEN("," &amp; SUBSTITUTE(TRIM(SUBSTITUTE(E9:E100," ","")),",",",") &amp; ",") -
     LEN(SUBSTITUTE("," &amp; SUBSTITUTE(TRIM(SUBSTITUTE(E9:E100," ","")),",",",") &amp; ",", ",4f,", ""))
    ) / LEN(",4f,")
  )
)</f>
        <v>0</v>
      </c>
      <c r="D219" s="20"/>
      <c r="E219" s="20"/>
      <c r="F219" s="20" t="s">
        <v>39</v>
      </c>
      <c r="G219" s="27" cm="1">
        <f t="array" ref="G219">SUMPRODUCT(
  (--(TRIM(F9:F100)="advanced studies"))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0" spans="2:7">
      <c r="B220" s="20" t="s">
        <v>40</v>
      </c>
      <c r="C220" s="27" cm="1">
        <f t="array" ref="C220">SUMPRODUCT(
  (--(TRIM(F9:F100)="ranking")) *
  (
    (LEN("," &amp; SUBSTITUTE(TRIM(SUBSTITUTE(E9:E100," ","")),",",",") &amp; ",") -
     LEN(SUBSTITUTE("," &amp; SUBSTITUTE(TRIM(SUBSTITUTE(E9:E100," ","")),",",",") &amp; ",", ",4f,", ""))
    ) / LEN(",4f,")
  )
)</f>
        <v>0</v>
      </c>
      <c r="D220" s="20"/>
      <c r="E220" s="20"/>
      <c r="F220" s="20" t="s">
        <v>40</v>
      </c>
      <c r="G220" s="27" cm="1">
        <f t="array" ref="G220">SUMPRODUCT(
  (--(TRIM(F9:F100)="ranking")) *
  (
    (LEN("," &amp; SUBSTITUTE(TRIM(SUBSTITUTE(E9:E100," ","")),",",",") &amp; ",") -
     LEN(SUBSTITUTE("," &amp; SUBSTITUTE(TRIM(SUBSTITUTE(E9:E100," ","")),",",",") &amp; ",", ",9,", ""))
    ) / LEN(",9,")
  )
)</f>
        <v>0</v>
      </c>
    </row>
    <row r="221" spans="2:7">
      <c r="B221" s="20" t="s">
        <v>41</v>
      </c>
      <c r="C221" s="27">
        <f>(C212)- SUM(C213:C220)</f>
        <v>0</v>
      </c>
      <c r="D221" s="20"/>
      <c r="E221" s="20"/>
      <c r="F221" s="20" t="s">
        <v>41</v>
      </c>
      <c r="G221" s="27">
        <f>(G212)- SUM(G213:G220)</f>
        <v>0</v>
      </c>
    </row>
    <row r="222" spans="2:7">
      <c r="B222" s="16"/>
      <c r="C222" s="27"/>
      <c r="D222" s="20"/>
      <c r="E222" s="20"/>
      <c r="F222" s="20"/>
      <c r="G222" s="27"/>
    </row>
    <row r="223" spans="2:7">
      <c r="B223" s="26" t="s">
        <v>46</v>
      </c>
      <c r="C223" s="25" cm="1">
        <f t="array" ref="C223">SUMPRODUCT(
  (LEN("," &amp; SUBSTITUTE(TRIM(SUBSTITUTE(E9:E100," ","")),",",",") &amp; ",") -
   LEN(SUBSTITUTE("," &amp; SUBSTITUTE(TRIM(SUBSTITUTE(E9:E100," ","")),",",",") &amp; ",", ",4g,", ""))
  ) / LEN(",4g,")
)</f>
        <v>0</v>
      </c>
      <c r="D223" s="20"/>
      <c r="E223" s="20"/>
      <c r="F223" s="28" t="s">
        <v>16</v>
      </c>
      <c r="G223" s="33" cm="1">
        <f t="array" ref="G223">SUMPRODUCT(
  (LEN("," &amp; SUBSTITUTE(TRIM(SUBSTITUTE(E9:E100," ","")),",",",") &amp; ",") -
   LEN(SUBSTITUTE("," &amp; SUBSTITUTE(TRIM(SUBSTITUTE(E9:E100," ","")),",",",") &amp; ",", ",10,", ""))
  ) / LEN(",10,")
)</f>
        <v>0</v>
      </c>
    </row>
    <row r="224" spans="2:7">
      <c r="B224" s="20" t="s">
        <v>33</v>
      </c>
      <c r="C224" s="27" cm="1">
        <f t="array" ref="C224">SUMPRODUCT(
  (--(TRIM(F9:F100)="evaluation")) *
  (
    (LEN("," &amp; SUBSTITUTE(TRIM(SUBSTITUTE(E9:E100," ","")),",",",") &amp; ",") -
     LEN(SUBSTITUTE("," &amp; SUBSTITUTE(TRIM(SUBSTITUTE(E9:E100," ","")),",",",") &amp; ",", ",4g,", ""))
    ) / LEN(",4g,")
  )
)</f>
        <v>0</v>
      </c>
      <c r="D224" s="20"/>
      <c r="E224" s="20"/>
      <c r="F224" s="20" t="s">
        <v>33</v>
      </c>
      <c r="G224" s="27" cm="1">
        <f t="array" ref="G224">SUMPRODUCT(
  (--(TRIM(F9:F100)="evaluation"))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5" spans="2:7">
      <c r="B225" s="20" t="s">
        <v>34</v>
      </c>
      <c r="C225" s="27" cm="1">
        <f t="array" ref="C225">SUMPRODUCT(
  (--(TRIM(F9:F100)="scholarship")) *
  (
    (LEN("," &amp; SUBSTITUTE(TRIM(SUBSTITUTE(E9:E100," ","")),",",",") &amp; ",") -
     LEN(SUBSTITUTE("," &amp; SUBSTITUTE(TRIM(SUBSTITUTE(E9:E100," ","")),",",",") &amp; ",", ",4g,", ""))
    ) / LEN(",4g,")
  )
)</f>
        <v>0</v>
      </c>
      <c r="D225" s="20"/>
      <c r="E225" s="20"/>
      <c r="F225" s="20" t="s">
        <v>34</v>
      </c>
      <c r="G225" s="27" cm="1">
        <f t="array" ref="G225">SUMPRODUCT(
  (--(TRIM(F9:F100)="scholarship"))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6" spans="2:7">
      <c r="B226" s="20" t="s">
        <v>35</v>
      </c>
      <c r="C226" s="27" cm="1">
        <f t="array" ref="C226">SUMPRODUCT(
  (--(TRIM(F9:F100)="passport")) *
  (
    (LEN("," &amp; SUBSTITUTE(TRIM(SUBSTITUTE(E9:E100," ","")),",",",") &amp; ",") -
     LEN(SUBSTITUTE("," &amp; SUBSTITUTE(TRIM(SUBSTITUTE(E9:E100," ","")),",",",") &amp; ",", ",4g,", ""))
    ) / LEN(",4g,")
  )
)</f>
        <v>0</v>
      </c>
      <c r="D226" s="20"/>
      <c r="E226" s="20"/>
      <c r="F226" s="20" t="s">
        <v>35</v>
      </c>
      <c r="G226" s="27" cm="1">
        <f t="array" ref="G226">SUMPRODUCT(
  (--(TRIM(F9:F100)="passport"))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7" spans="2:7">
      <c r="B227" s="20" t="s">
        <v>36</v>
      </c>
      <c r="C227" s="27" cm="1">
        <f t="array" ref="C227">SUMPRODUCT(
  (--(TRIM(F9:F100)="board exam")) *
  (
    (LEN("," &amp; SUBSTITUTE(TRIM(SUBSTITUTE(E9:E100," ","")),",",",") &amp; ",") -
     LEN(SUBSTITUTE("," &amp; SUBSTITUTE(TRIM(SUBSTITUTE(E9:E100," ","")),",",",") &amp; ",", ",4g,", ""))
    ) / LEN(",4g,")
  )
)</f>
        <v>0</v>
      </c>
      <c r="D227" s="20"/>
      <c r="E227" s="20"/>
      <c r="F227" s="20" t="s">
        <v>36</v>
      </c>
      <c r="G227" s="27" cm="1">
        <f t="array" ref="G227">SUMPRODUCT(
  (--(TRIM(F9:F100)="board exam"))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8" spans="2:7">
      <c r="B228" s="20" t="s">
        <v>37</v>
      </c>
      <c r="C228" s="27" cm="1">
        <f t="array" ref="C228">SUMPRODUCT(
  (--(TRIM(F9:F100)="employment")) *
  (
    (LEN("," &amp; SUBSTITUTE(TRIM(SUBSTITUTE(E9:E100," ","")),",",",") &amp; ",") -
     LEN(SUBSTITUTE("," &amp; SUBSTITUTE(TRIM(SUBSTITUTE(E9:E100," ","")),",",",") &amp; ",", ",4g,", ""))
    ) / LEN(",4g,")
  )
)</f>
        <v>0</v>
      </c>
      <c r="D228" s="20"/>
      <c r="E228" s="20"/>
      <c r="F228" s="20" t="s">
        <v>37</v>
      </c>
      <c r="G228" s="27" cm="1">
        <f t="array" ref="G228">SUMPRODUCT(
  (--(TRIM(F9:F100)="employment"))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29" spans="2:7">
      <c r="B229" s="20" t="s">
        <v>38</v>
      </c>
      <c r="C229" s="27" cm="1">
        <f t="array" ref="C229">SUMPRODUCT(
  (--(TRIM(F9:F100)="personal file")) *
  (
    (LEN("," &amp; SUBSTITUTE(TRIM(SUBSTITUTE(E9:E100," ","")),",",",") &amp; ",") -
     LEN(SUBSTITUTE("," &amp; SUBSTITUTE(TRIM(SUBSTITUTE(E9:E100," ","")),",",",") &amp; ",", ",4g,", ""))
    ) / LEN(",4g,")
  )
)</f>
        <v>0</v>
      </c>
      <c r="D229" s="20"/>
      <c r="E229" s="20"/>
      <c r="F229" s="20" t="s">
        <v>38</v>
      </c>
      <c r="G229" s="27" cm="1">
        <f t="array" ref="G229">SUMPRODUCT(
  (--(TRIM(F9:F100)="personal file"))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0" spans="2:7">
      <c r="B230" s="20" t="s">
        <v>39</v>
      </c>
      <c r="C230" s="27" cm="1">
        <f t="array" ref="C230">SUMPRODUCT(
  (--(TRIM(F9:F100)="advanced studies")) *
  (
    (LEN("," &amp; SUBSTITUTE(TRIM(SUBSTITUTE(E9:E100," ","")),",",",") &amp; ",") -
     LEN(SUBSTITUTE("," &amp; SUBSTITUTE(TRIM(SUBSTITUTE(E9:E100," ","")),",",",") &amp; ",", ",4g,", ""))
    ) / LEN(",4g,")
  )
)</f>
        <v>0</v>
      </c>
      <c r="D230" s="20"/>
      <c r="E230" s="20"/>
      <c r="F230" s="20" t="s">
        <v>39</v>
      </c>
      <c r="G230" s="27" cm="1">
        <f t="array" ref="G230">SUMPRODUCT(
  (--(TRIM(F9:F100)="advanced studies"))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1" spans="2:7">
      <c r="B231" s="20" t="s">
        <v>40</v>
      </c>
      <c r="C231" s="27" cm="1">
        <f t="array" ref="C231">SUMPRODUCT(
  (--(TRIM(F9:F100)="ranking")) *
  (
    (LEN("," &amp; SUBSTITUTE(TRIM(SUBSTITUTE(E9:E100," ","")),",",",") &amp; ",") -
     LEN(SUBSTITUTE("," &amp; SUBSTITUTE(TRIM(SUBSTITUTE(E9:E100," ","")),",",",") &amp; ",", ",4g,", ""))
    ) / LEN(",4g,")
  )
)</f>
        <v>0</v>
      </c>
      <c r="D231" s="20"/>
      <c r="E231" s="20"/>
      <c r="F231" s="20" t="s">
        <v>40</v>
      </c>
      <c r="G231" s="27" cm="1">
        <f t="array" ref="G231">SUMPRODUCT(
  (--(TRIM(F9:F100)="ranking")) *
  (
    (LEN("," &amp; SUBSTITUTE(TRIM(SUBSTITUTE(E9:E100," ","")),",",",") &amp; ",") -
     LEN(SUBSTITUTE("," &amp; SUBSTITUTE(TRIM(SUBSTITUTE(E9:E100," ","")),",",",") &amp; ",", ",10,", ""))
    ) / LEN(",10,")
  )
)</f>
        <v>0</v>
      </c>
    </row>
    <row r="232" spans="2:7">
      <c r="B232" s="20" t="s">
        <v>41</v>
      </c>
      <c r="C232" s="27">
        <f>(C223)- SUM(C224:C231)</f>
        <v>0</v>
      </c>
      <c r="D232" s="20"/>
      <c r="E232" s="20"/>
      <c r="F232" s="20" t="s">
        <v>41</v>
      </c>
      <c r="G232" s="27">
        <f>(G223)- SUM(G224:G231)</f>
        <v>0</v>
      </c>
    </row>
    <row r="233" spans="2:7">
      <c r="B233" s="20"/>
      <c r="C233" s="27"/>
      <c r="D233" s="20"/>
      <c r="E233" s="20"/>
      <c r="F233" s="20"/>
      <c r="G233" s="20"/>
    </row>
    <row r="234" spans="2:7">
      <c r="B234" s="28" t="s">
        <v>47</v>
      </c>
      <c r="C234" s="25" cm="1">
        <f t="array" ref="C234">SUMPRODUCT(
  (LEN("," &amp; SUBSTITUTE(TRIM(SUBSTITUTE(E9:E100," ","")),",",",") &amp; ",") -
   LEN(SUBSTITUTE("," &amp; SUBSTITUTE(TRIM(SUBSTITUTE(E9:E100," ","")),",",",") &amp; ",", ",4h,", ""))
  ) / LEN(",4h,")
)</f>
        <v>0</v>
      </c>
      <c r="D234" s="20"/>
      <c r="E234" s="20"/>
      <c r="F234" s="28" t="s">
        <v>48</v>
      </c>
      <c r="G234" s="34">
        <f>SUM($C$124,$G$124,$C$135,$G$135,$C$146,$G$146,$C$157,$G$157,$C$168,$G$168,$C$179,$G$179,$C$190,$G$190,$C$201,$G$201,$C$212,$G$212,$C$223,$G$223,$C$234)</f>
        <v>0</v>
      </c>
    </row>
    <row r="235" spans="2:7">
      <c r="B235" s="20" t="s">
        <v>33</v>
      </c>
      <c r="C235" s="27" cm="1">
        <f t="array" ref="C235">SUMPRODUCT(
  (--(TRIM(F9:F100)="evaluation")) *
  (
    (LEN("," &amp; SUBSTITUTE(TRIM(SUBSTITUTE(E9:E100," ","")),",",",") &amp; ",") -
     LEN(SUBSTITUTE("," &amp; SUBSTITUTE(TRIM(SUBSTITUTE(E9:E100," ","")),",",",") &amp; ",", ",4h,", ""))
    ) / LEN(",4h,")
  )
)</f>
        <v>0</v>
      </c>
      <c r="D235" s="20"/>
      <c r="E235" s="20"/>
      <c r="F235" s="20"/>
      <c r="G235" s="17"/>
    </row>
    <row r="236" spans="2:7">
      <c r="B236" s="20" t="s">
        <v>34</v>
      </c>
      <c r="C236" s="27" cm="1">
        <f t="array" ref="C236">SUMPRODUCT(
  (--(TRIM(F9:F100)="scholarship")) *
  (
    (LEN("," &amp; SUBSTITUTE(TRIM(SUBSTITUTE(E9:E100," ","")),",",",") &amp; ",") -
     LEN(SUBSTITUTE("," &amp; SUBSTITUTE(TRIM(SUBSTITUTE(E9:E100," ","")),",",",") &amp; ",", ",4h,", ""))
    ) / LEN(",4h,")
  )
)</f>
        <v>0</v>
      </c>
      <c r="D236" s="20"/>
      <c r="E236" s="20"/>
      <c r="F236" s="20"/>
      <c r="G236" s="17"/>
    </row>
    <row r="237" spans="2:7">
      <c r="B237" s="20" t="s">
        <v>35</v>
      </c>
      <c r="C237" s="27" cm="1">
        <f t="array" ref="C237">SUMPRODUCT(
  (--(TRIM(F9:F100)="passport")) *
  (
    (LEN("," &amp; SUBSTITUTE(TRIM(SUBSTITUTE(E9:E100," ","")),",",",") &amp; ",") -
     LEN(SUBSTITUTE("," &amp; SUBSTITUTE(TRIM(SUBSTITUTE(E9:E100," ","")),",",",") &amp; ",", ",4h,", ""))
    ) / LEN(",4h,")
  )
)</f>
        <v>0</v>
      </c>
      <c r="D237" s="20"/>
      <c r="E237" s="20"/>
      <c r="F237" s="20"/>
      <c r="G237" s="17"/>
    </row>
    <row r="238" spans="2:7">
      <c r="B238" s="20" t="s">
        <v>36</v>
      </c>
      <c r="C238" s="27" cm="1">
        <f t="array" ref="C238">SUMPRODUCT(
  (--(TRIM(F9:F100)="board exam")) *
  (
    (LEN("," &amp; SUBSTITUTE(TRIM(SUBSTITUTE(E9:E100," ","")),",",",") &amp; ",") -
     LEN(SUBSTITUTE("," &amp; SUBSTITUTE(TRIM(SUBSTITUTE(E9:E100," ","")),",",",") &amp; ",", ",4h,", ""))
    ) / LEN(",4h,")
  )
)</f>
        <v>0</v>
      </c>
      <c r="D238" s="20"/>
      <c r="E238" s="20"/>
      <c r="F238" s="20"/>
      <c r="G238" s="17"/>
    </row>
    <row r="239" spans="2:7">
      <c r="B239" s="20" t="s">
        <v>37</v>
      </c>
      <c r="C239" s="27" cm="1">
        <f t="array" ref="C239">SUMPRODUCT(
  (--(TRIM(F9:F100)="employment")) *
  (
    (LEN("," &amp; SUBSTITUTE(TRIM(SUBSTITUTE(E9:E100," ","")),",",",") &amp; ",") -
     LEN(SUBSTITUTE("," &amp; SUBSTITUTE(TRIM(SUBSTITUTE(E9:E100," ","")),",",",") &amp; ",", ",4h,", ""))
    ) / LEN(",4h,")
  )
)</f>
        <v>0</v>
      </c>
      <c r="D239" s="20"/>
      <c r="E239" s="20"/>
      <c r="F239" s="20"/>
      <c r="G239" s="17"/>
    </row>
    <row r="240" spans="2:7">
      <c r="B240" s="20" t="s">
        <v>38</v>
      </c>
      <c r="C240" s="27" cm="1">
        <f t="array" ref="C240">SUMPRODUCT(
  (--(TRIM(F9:F100)="personal file")) *
  (
    (LEN("," &amp; SUBSTITUTE(TRIM(SUBSTITUTE(E9:E100," ","")),",",",") &amp; ",") -
     LEN(SUBSTITUTE("," &amp; SUBSTITUTE(TRIM(SUBSTITUTE(E9:E100," ","")),",",",") &amp; ",", ",4h,", ""))
    ) / LEN(",4h,")
  )
)</f>
        <v>0</v>
      </c>
      <c r="D240" s="20"/>
      <c r="E240" s="20"/>
      <c r="F240" s="20"/>
      <c r="G240" s="17"/>
    </row>
    <row r="241" spans="2:7">
      <c r="B241" s="20" t="s">
        <v>39</v>
      </c>
      <c r="C241" s="27" cm="1">
        <f t="array" ref="C241">SUMPRODUCT(
  (--(TRIM(F9:F100)="advanced studies")) *
  (
    (LEN("," &amp; SUBSTITUTE(TRIM(SUBSTITUTE(E9:E100," ","")),",",",") &amp; ",") -
     LEN(SUBSTITUTE("," &amp; SUBSTITUTE(TRIM(SUBSTITUTE(E9:E100," ","")),",",",") &amp; ",", ",4h,", ""))
    ) / LEN(",4h,")
  )
)</f>
        <v>0</v>
      </c>
      <c r="D241" s="20"/>
      <c r="E241" s="20"/>
      <c r="F241" s="20"/>
      <c r="G241" s="17"/>
    </row>
    <row r="242" spans="2:7">
      <c r="B242" s="20" t="s">
        <v>40</v>
      </c>
      <c r="C242" s="27" cm="1">
        <f t="array" ref="C242">SUMPRODUCT(
  (--(TRIM(F9:F100)="ranking")) *
  (
    (LEN("," &amp; SUBSTITUTE(TRIM(SUBSTITUTE(E9:E100," ","")),",",",") &amp; ",") -
     LEN(SUBSTITUTE("," &amp; SUBSTITUTE(TRIM(SUBSTITUTE(E9:E100," ","")),",",",") &amp; ",", ",4h,", ""))
    ) / LEN(",4h,")
  )
)</f>
        <v>0</v>
      </c>
      <c r="D242" s="20"/>
      <c r="E242" s="20"/>
      <c r="F242" s="20"/>
      <c r="G242" s="17"/>
    </row>
    <row r="243" spans="2:7">
      <c r="B243" s="20" t="s">
        <v>41</v>
      </c>
      <c r="C243" s="27">
        <f>(C234)- SUM(C235:C242)</f>
        <v>0</v>
      </c>
      <c r="D243" s="20"/>
      <c r="E243" s="20"/>
      <c r="F243" s="20"/>
      <c r="G243" s="20"/>
    </row>
    <row r="246" spans="2:7">
      <c r="B246" s="20" t="s">
        <v>50</v>
      </c>
      <c r="C246" s="20" t="s">
        <v>51</v>
      </c>
      <c r="D246" s="20" t="s">
        <v>52</v>
      </c>
      <c r="E246" s="20" t="s">
        <v>53</v>
      </c>
      <c r="F246" s="20" t="s">
        <v>54</v>
      </c>
    </row>
    <row r="247" spans="2:7">
      <c r="B247" s="20" t="str">
        <f t="array" ref="B247">IFERROR(INDEX($B$9:$B$100, SMALL(IF(ISNUMBER(MATCH($C$9:$C$100, {"BSCE","BSCHEM","BSFT","BS-Arch","SHS-STEM"}, 0)), ROW($B$9:$B$100)-ROW($B$9)+1), ROW(A1))), "")</f>
        <v/>
      </c>
      <c r="C247" s="20" t="str">
        <f t="array" ref="C247">IFERROR(INDEX($B$9:$B$100, SMALL(IF(ISNUMBER(MATCH($C$9:$C$100, {"BSTCM","BSCS","BSDS","BSEMT","BSEMT-MR","BSET-ES","BSET-TN","BSESM-EMCM","BSESM-PSPE","BSMET","BTOM","BSECT","BSETM","BS-ArchMT","BSIT (Industral Tech)","BSEST","BSES-EMT","BSES-NRM","BS-ArchM","COT","BEED","DT-SPED"}, 0)), ROW($B$9:$B$100)-ROW($B$9)+1), ROW(A1))), "")</f>
        <v/>
      </c>
      <c r="D247" s="20" t="str">
        <f t="array" ref="D247">IFERROR(INDEX($B$9:$B$100, SMALL(IF(ISNUMBER(MATCH($C$9:$C$100, {"BS-Arch","BSCPE","BSEE","BSECE","BSGE","BSME"}, 0)), ROW($B$9:$B$100)-ROW($B$9)+1), ROW(A1))), "")</f>
        <v/>
      </c>
      <c r="E247" s="20" t="str">
        <f t="array" ref="E247">IFERROR(INDEX($B$9:$B$100, SMALL(IF((ISNUMBER(SEARCH("BSIT", $C$9:$C$100)) + ISNUMBER(SEARCH("BTVTED", $C$9:$C$100)) + ISNUMBER(SEARCH("BSED", $C$9:$C$100)) + ISNUMBER(SEARCH("BTLED", $C$9:$C$100))) &gt; 0, ROW($B$9:$B$100)-ROW($B$9)+1), ROW(A1))), "")</f>
        <v/>
      </c>
      <c r="F247" s="20" t="str">
        <f t="array" ref="F247">IFERROR(INDEX($B$9:$B$100, SMALL(IF(ISNUMBER(MATCH($C$9:$C$100, {"MEP-ECE","MS-AMS","PHD EGY-ENG","PHD-EMP","PHD-EPA","PHD-MSME","PHD MSAMS","PHD-SCIEDD","BTE","MEP-CE","MPSI","MS-EPA","MS-EST","MAT-SPED","MTTE","MITO","MIT","MS-TCM","MEP-ME","MEP-EE","MS-EE","PSM","MS-ES","MA-TESL","MS-SCIED","MST-PS","MS-ME","MST-MATH"}, 0)), ROW($B$9:$B$100)-ROW($B$9)+1), ROW(A1))), "")</f>
        <v/>
      </c>
    </row>
    <row r="248" spans="2:7">
      <c r="B248" s="20"/>
      <c r="C248" s="20"/>
      <c r="D248" s="20"/>
      <c r="E248" s="20"/>
      <c r="F248" s="20"/>
    </row>
    <row r="249" spans="2:7">
      <c r="B249" s="20"/>
      <c r="C249" s="20"/>
      <c r="D249" s="20"/>
      <c r="E249" s="20"/>
      <c r="F249" s="20"/>
    </row>
    <row r="250" spans="2:7">
      <c r="B250" s="20"/>
      <c r="C250" s="20"/>
      <c r="D250" s="20"/>
      <c r="E250" s="20"/>
      <c r="F250" s="20"/>
    </row>
    <row r="251" spans="2:7">
      <c r="B251" s="20"/>
      <c r="C251" s="20"/>
      <c r="D251" s="20"/>
      <c r="E251" s="20"/>
      <c r="F251" s="20"/>
    </row>
    <row r="252" spans="2:7">
      <c r="B252" s="20"/>
      <c r="C252" s="20"/>
      <c r="D252" s="20"/>
      <c r="E252" s="20"/>
      <c r="F252" s="20"/>
    </row>
    <row r="253" spans="2:7">
      <c r="B253" s="20"/>
      <c r="C253" s="20"/>
      <c r="D253" s="20"/>
      <c r="E253" s="20"/>
      <c r="F253" s="20"/>
    </row>
    <row r="254" spans="2:7">
      <c r="B254" s="20"/>
      <c r="C254" s="20"/>
      <c r="D254" s="20"/>
      <c r="E254" s="20"/>
      <c r="F254" s="20"/>
    </row>
    <row r="255" spans="2:7">
      <c r="B255" s="20"/>
      <c r="C255" s="20"/>
      <c r="D255" s="20"/>
      <c r="E255" s="20"/>
      <c r="F255" s="20"/>
    </row>
    <row r="256" spans="2:7">
      <c r="B256" s="20"/>
      <c r="C256" s="20"/>
      <c r="D256" s="20"/>
      <c r="E256" s="20"/>
      <c r="F256" s="20"/>
    </row>
    <row r="257" spans="2:6">
      <c r="B257" s="20"/>
      <c r="C257" s="20"/>
      <c r="D257" s="20"/>
      <c r="E257" s="20"/>
      <c r="F257" s="20"/>
    </row>
    <row r="258" spans="2:6">
      <c r="B258" s="20"/>
      <c r="C258" s="20"/>
      <c r="D258" s="20"/>
      <c r="E258" s="20"/>
      <c r="F258" s="20"/>
    </row>
  </sheetData>
  <mergeCells count="4">
    <mergeCell ref="A1:L1"/>
    <mergeCell ref="A2:L2"/>
    <mergeCell ref="F3:H3"/>
    <mergeCell ref="C5:E5"/>
  </mergeCells>
  <dataValidations count="1">
    <dataValidation type="list" errorStyle="information" allowBlank="1" showInputMessage="1" showErrorMessage="1" errorTitle="Please Check Entry" error="It is recommended to pick a course from the list." sqref="C9:C100">
      <formula1>#REF!</formula1>
    </dataValidation>
  </dataValidations>
  <pageMargins left="0.7" right="0.7" top="0.75" bottom="0.75" header="0.3" footer="0.3"/>
  <pageSetup paperSize="9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1</vt:i4>
      </vt:variant>
    </vt:vector>
  </HeadingPairs>
  <TitlesOfParts>
    <vt:vector size="32" baseType="lpstr">
      <vt:lpstr>September 1</vt:lpstr>
      <vt:lpstr>September 2</vt:lpstr>
      <vt:lpstr>September 3</vt:lpstr>
      <vt:lpstr>September 4</vt:lpstr>
      <vt:lpstr>September 5</vt:lpstr>
      <vt:lpstr>September 6</vt:lpstr>
      <vt:lpstr>September 7</vt:lpstr>
      <vt:lpstr>September 8</vt:lpstr>
      <vt:lpstr>September 9</vt:lpstr>
      <vt:lpstr>September 10</vt:lpstr>
      <vt:lpstr>September 11</vt:lpstr>
      <vt:lpstr>September 12</vt:lpstr>
      <vt:lpstr>September 13</vt:lpstr>
      <vt:lpstr>September 14</vt:lpstr>
      <vt:lpstr>September 15</vt:lpstr>
      <vt:lpstr>September 16</vt:lpstr>
      <vt:lpstr>September 17</vt:lpstr>
      <vt:lpstr>September 18</vt:lpstr>
      <vt:lpstr>September 19</vt:lpstr>
      <vt:lpstr>September 20</vt:lpstr>
      <vt:lpstr>September 21</vt:lpstr>
      <vt:lpstr>September 22</vt:lpstr>
      <vt:lpstr>September 23</vt:lpstr>
      <vt:lpstr>September 24</vt:lpstr>
      <vt:lpstr>September 25</vt:lpstr>
      <vt:lpstr>September 26</vt:lpstr>
      <vt:lpstr>September 27</vt:lpstr>
      <vt:lpstr>September 28</vt:lpstr>
      <vt:lpstr>September 29</vt:lpstr>
      <vt:lpstr>September 30</vt:lpstr>
      <vt:lpstr>September 31</vt:lpstr>
      <vt:lpstr>'September 5'!Print_Area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Nhed Ardy Salas</dc:creator>
  <cp:lastModifiedBy>prisms</cp:lastModifiedBy>
  <cp:lastPrinted>2026-01-21T08:45:36Z</cp:lastPrinted>
  <dcterms:created xsi:type="dcterms:W3CDTF">2025-02-27T00:16:39Z</dcterms:created>
  <dcterms:modified xsi:type="dcterms:W3CDTF">2026-05-14T07:54:40Z</dcterms:modified>
</cp:coreProperties>
</file>